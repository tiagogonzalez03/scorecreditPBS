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calcChain.xml><?xml version="1.0" encoding="utf-8"?>
<calcChain xmlns="http://schemas.openxmlformats.org/spreadsheetml/2006/main">
  <c r="U4" i="1" l="1"/>
</calcChain>
</file>

<file path=xl/sharedStrings.xml><?xml version="1.0" encoding="utf-8"?>
<sst xmlns="http://schemas.openxmlformats.org/spreadsheetml/2006/main" count="1233" uniqueCount="1017">
  <si>
    <t>SP_ENTITY_NAME</t>
  </si>
  <si>
    <t>SP_ENTITY_ID</t>
  </si>
  <si>
    <t>SP_EXCHANGE_TICKER</t>
  </si>
  <si>
    <t>IQ_TOTAL_DEBT</t>
  </si>
  <si>
    <t>IQ_EBITDA</t>
  </si>
  <si>
    <t>IQ_TOTAL_REV</t>
  </si>
  <si>
    <t/>
  </si>
  <si>
    <t>FY0</t>
  </si>
  <si>
    <t>FY-5</t>
  </si>
  <si>
    <t>FY-4</t>
  </si>
  <si>
    <t>FY-3</t>
  </si>
  <si>
    <t>FY-2</t>
  </si>
  <si>
    <t>FY-1</t>
  </si>
  <si>
    <t>3M Company (NYSE:MMM)</t>
  </si>
  <si>
    <t>NYSE:MMM</t>
  </si>
  <si>
    <t>A. O. Smith Corporation (NYSE:AOS)</t>
  </si>
  <si>
    <t>NYSE:AOS</t>
  </si>
  <si>
    <t>Abbott Laboratories (NYSE:ABT)</t>
  </si>
  <si>
    <t>NYSE:ABT</t>
  </si>
  <si>
    <t>AbbVie Inc. (NYSE:ABBV)</t>
  </si>
  <si>
    <t>NYSE:ABBV</t>
  </si>
  <si>
    <t>Accenture plc (NYSE:ACN)</t>
  </si>
  <si>
    <t>NYSE:ACN</t>
  </si>
  <si>
    <t>Adobe Inc. (NASDAQGS:ADBE)</t>
  </si>
  <si>
    <t>NASDAQGS:ADBE</t>
  </si>
  <si>
    <t>Advanced Micro Devices, Inc. (NASDAQGS:AMD)</t>
  </si>
  <si>
    <t>NASDAQGS:AMD</t>
  </si>
  <si>
    <t>Aflac Incorporated (NYSE:AFL)</t>
  </si>
  <si>
    <t>NYSE:AFL</t>
  </si>
  <si>
    <t>Agilent Technologies, Inc. (NYSE:A)</t>
  </si>
  <si>
    <t>NYSE:A</t>
  </si>
  <si>
    <t>Air Products and Chemicals, Inc. (NYSE:APD)</t>
  </si>
  <si>
    <t>NYSE:APD</t>
  </si>
  <si>
    <t>Airbnb, Inc. (NASDAQGS:ABNB)</t>
  </si>
  <si>
    <t>NASDAQGS:ABNB</t>
  </si>
  <si>
    <t>Akamai Technologies, Inc. (NASDAQGS:AKAM)</t>
  </si>
  <si>
    <t>NASDAQGS:AKAM</t>
  </si>
  <si>
    <t>Albemarle Corporation (NYSE:ALB)</t>
  </si>
  <si>
    <t>NYSE:ALB</t>
  </si>
  <si>
    <t>Alexandria Real Estate Equities, Inc. (NYSE:ARE)</t>
  </si>
  <si>
    <t>NYSE:ARE</t>
  </si>
  <si>
    <t>Align Technology, Inc. (NASDAQGS:ALGN)</t>
  </si>
  <si>
    <t>NASDAQGS:ALGN</t>
  </si>
  <si>
    <t>Allegion plc (NYSE:ALLE)</t>
  </si>
  <si>
    <t>NYSE:ALLE</t>
  </si>
  <si>
    <t>Alliant Energy Corporation (NASDAQGS:LNT)</t>
  </si>
  <si>
    <t>NASDAQGS:LNT</t>
  </si>
  <si>
    <t>Alphabet Inc. (NASDAQGS:GOOGL)</t>
  </si>
  <si>
    <t>NASDAQGS:GOOGL</t>
  </si>
  <si>
    <t>Altria Group, Inc. (NYSE:MO)</t>
  </si>
  <si>
    <t>NYSE:MO</t>
  </si>
  <si>
    <t>Amazon.com, Inc. (NASDAQGS:AMZN)</t>
  </si>
  <si>
    <t>NASDAQGS:AMZN</t>
  </si>
  <si>
    <t>Amcor plc (NYSE:AMCR)</t>
  </si>
  <si>
    <t>NYSE:AMCR</t>
  </si>
  <si>
    <t>Ameren Corporation (NYSE:AEE)</t>
  </si>
  <si>
    <t>NYSE:AEE</t>
  </si>
  <si>
    <t>American Electric Power Company, Inc. (NASDAQGS:AEP)</t>
  </si>
  <si>
    <t>NASDAQGS:AEP</t>
  </si>
  <si>
    <t>American Express Company (NYSE:AXP)</t>
  </si>
  <si>
    <t>NYSE:AXP</t>
  </si>
  <si>
    <t>NA</t>
  </si>
  <si>
    <t>American International Group, Inc. (NYSE:AIG)</t>
  </si>
  <si>
    <t>NYSE:AIG</t>
  </si>
  <si>
    <t>American Tower Corporation (NYSE:AMT)</t>
  </si>
  <si>
    <t>NYSE:AMT</t>
  </si>
  <si>
    <t>American Water Works Company, Inc. (NYSE:AWK)</t>
  </si>
  <si>
    <t>NYSE:AWK</t>
  </si>
  <si>
    <t>Ameriprise Financial, Inc. (NYSE:AMP)</t>
  </si>
  <si>
    <t>NYSE:AMP</t>
  </si>
  <si>
    <t>AMETEK, Inc. (NYSE:AME)</t>
  </si>
  <si>
    <t>NYSE:AME</t>
  </si>
  <si>
    <t>Amgen Inc. (NASDAQGS:AMGN)</t>
  </si>
  <si>
    <t>NASDAQGS:AMGN</t>
  </si>
  <si>
    <t>Amphenol Corporation (NYSE:APH)</t>
  </si>
  <si>
    <t>NYSE:APH</t>
  </si>
  <si>
    <t>Analog Devices, Inc. (NASDAQGS:ADI)</t>
  </si>
  <si>
    <t>NASDAQGS:ADI</t>
  </si>
  <si>
    <t>Aon plc (NYSE:AON)</t>
  </si>
  <si>
    <t>NYSE:AON</t>
  </si>
  <si>
    <t>APA Corporation (NASDAQGS:APA)</t>
  </si>
  <si>
    <t>NASDAQGS:APA</t>
  </si>
  <si>
    <t>Apollo Global Management, Inc. (NYSE:APO)</t>
  </si>
  <si>
    <t>NYSE:APO</t>
  </si>
  <si>
    <t>Apple Inc. (NASDAQGS:AAPL)</t>
  </si>
  <si>
    <t>NASDAQGS:AAPL</t>
  </si>
  <si>
    <t>Applied Materials, Inc. (NASDAQGS:AMAT)</t>
  </si>
  <si>
    <t>NASDAQGS:AMAT</t>
  </si>
  <si>
    <t>AppLovin Corporation (NASDAQGS:APP)</t>
  </si>
  <si>
    <t>NASDAQGS:APP</t>
  </si>
  <si>
    <t>Aptiv PLC (NYSE:APTV)</t>
  </si>
  <si>
    <t>NYSE:APTV</t>
  </si>
  <si>
    <t>Arch Capital Group Ltd. (NASDAQGS:ACGL)</t>
  </si>
  <si>
    <t>NASDAQGS:ACGL</t>
  </si>
  <si>
    <t>Archer-Daniels-Midland Company (NYSE:ADM)</t>
  </si>
  <si>
    <t>NYSE:ADM</t>
  </si>
  <si>
    <t>Ares Management Corporation (NYSE:ARES)</t>
  </si>
  <si>
    <t>NYSE:ARES</t>
  </si>
  <si>
    <t>Arista Networks, Inc. (NYSE:ANET)</t>
  </si>
  <si>
    <t>NYSE:ANET</t>
  </si>
  <si>
    <t>Arthur J. Gallagher &amp; Co. (NYSE:AJG)</t>
  </si>
  <si>
    <t>NYSE:AJG</t>
  </si>
  <si>
    <t>Assurant, Inc. (NYSE:AIZ)</t>
  </si>
  <si>
    <t>NYSE:AIZ</t>
  </si>
  <si>
    <t>AT&amp;T Inc. (NYSE:T)</t>
  </si>
  <si>
    <t>NYSE:T</t>
  </si>
  <si>
    <t>Atmos Energy Corporation (NYSE:ATO)</t>
  </si>
  <si>
    <t>NYSE:ATO</t>
  </si>
  <si>
    <t>Autodesk, Inc. (NASDAQGS:ADSK)</t>
  </si>
  <si>
    <t>NASDAQGS:ADSK</t>
  </si>
  <si>
    <t>Automatic Data Processing, Inc. (NASDAQGS:ADP)</t>
  </si>
  <si>
    <t>NASDAQGS:ADP</t>
  </si>
  <si>
    <t>AutoZone, Inc. (NYSE:AZO)</t>
  </si>
  <si>
    <t>NYSE:AZO</t>
  </si>
  <si>
    <t>AvalonBay Communities, Inc. (NYSE:AVB)</t>
  </si>
  <si>
    <t>NYSE:AVB</t>
  </si>
  <si>
    <t>Avery Dennison Corporation (NYSE:AVY)</t>
  </si>
  <si>
    <t>NYSE:AVY</t>
  </si>
  <si>
    <t>Axon Enterprise, Inc. (NASDAQGS:AXON)</t>
  </si>
  <si>
    <t>NASDAQGS:AXON</t>
  </si>
  <si>
    <t>Baker Hughes Company (NASDAQGS:BKR)</t>
  </si>
  <si>
    <t>NASDAQGS:BKR</t>
  </si>
  <si>
    <t>Ball Corporation (NYSE:BALL)</t>
  </si>
  <si>
    <t>NYSE:BALL</t>
  </si>
  <si>
    <t>Bank of America Corporation (NYSE:BAC)</t>
  </si>
  <si>
    <t>NYSE:BAC</t>
  </si>
  <si>
    <t>Baxter International Inc. (NYSE:BAX)</t>
  </si>
  <si>
    <t>NYSE:BAX</t>
  </si>
  <si>
    <t>Becton, Dickinson and Company (NYSE:BDX)</t>
  </si>
  <si>
    <t>NYSE:BDX</t>
  </si>
  <si>
    <t>Berkshire Hathaway Inc. (NYSE:BRK.A)</t>
  </si>
  <si>
    <t>NYSE:BRK.A</t>
  </si>
  <si>
    <t>Best Buy Co., Inc. (NYSE:BBY)</t>
  </si>
  <si>
    <t>NYSE:BBY</t>
  </si>
  <si>
    <t>Biogen Inc. (NASDAQGS:BIIB)</t>
  </si>
  <si>
    <t>NASDAQGS:BIIB</t>
  </si>
  <si>
    <t>Bio-Techne Corporation (NASDAQGS:TECH)</t>
  </si>
  <si>
    <t>NASDAQGS:TECH</t>
  </si>
  <si>
    <t>BlackRock, Inc. (NYSE:BLK)</t>
  </si>
  <si>
    <t>NYSE:BLK</t>
  </si>
  <si>
    <t>Blackstone Inc. (NYSE:BX)</t>
  </si>
  <si>
    <t>NYSE:BX</t>
  </si>
  <si>
    <t>Block, Inc. (NYSE:XYZ)</t>
  </si>
  <si>
    <t>NYSE:XYZ</t>
  </si>
  <si>
    <t>Booking Holdings Inc. (NASDAQGS:BKNG)</t>
  </si>
  <si>
    <t>NASDAQGS:BKNG</t>
  </si>
  <si>
    <t>Boston Scientific Corporation (NYSE:BSX)</t>
  </si>
  <si>
    <t>NYSE:BSX</t>
  </si>
  <si>
    <t>Bristol-Myers Squibb Company (NYSE:BMY)</t>
  </si>
  <si>
    <t>NYSE:BMY</t>
  </si>
  <si>
    <t>Broadcom Inc. (NASDAQGS:AVGO)</t>
  </si>
  <si>
    <t>NASDAQGS:AVGO</t>
  </si>
  <si>
    <t>Broadridge Financial Solutions, Inc. (NYSE:BR)</t>
  </si>
  <si>
    <t>NYSE:BR</t>
  </si>
  <si>
    <t>Brown &amp; Brown, Inc. (NYSE:BRO)</t>
  </si>
  <si>
    <t>NYSE:BRO</t>
  </si>
  <si>
    <t>Brown-Forman Corporation (NYSE:BF.B)</t>
  </si>
  <si>
    <t>NYSE:BF.B</t>
  </si>
  <si>
    <t>Builders FirstSource, Inc. (NYSE:BLDR)</t>
  </si>
  <si>
    <t>NYSE:BLDR</t>
  </si>
  <si>
    <t>Bunge Global SA (NYSE:BG)</t>
  </si>
  <si>
    <t>NYSE:BG</t>
  </si>
  <si>
    <t>BXP, Inc. (NYSE:BXP)</t>
  </si>
  <si>
    <t>NYSE:BXP</t>
  </si>
  <si>
    <t>C.H. Robinson Worldwide, Inc. (NASDAQGS:CHRW)</t>
  </si>
  <si>
    <t>NASDAQGS:CHRW</t>
  </si>
  <si>
    <t>Cadence Design Systems, Inc. (NASDAQGS:CDNS)</t>
  </si>
  <si>
    <t>NASDAQGS:CDNS</t>
  </si>
  <si>
    <t>Camden Property Trust (NYSE:CPT)</t>
  </si>
  <si>
    <t>NYSE:CPT</t>
  </si>
  <si>
    <t>Capital One Financial Corporation (NYSE:COF)</t>
  </si>
  <si>
    <t>NYSE:COF</t>
  </si>
  <si>
    <t>Cardinal Health, Inc. (NYSE:CAH)</t>
  </si>
  <si>
    <t>NYSE:CAH</t>
  </si>
  <si>
    <t>Carnival Corporation &amp; plc (NYSE:CCL)</t>
  </si>
  <si>
    <t>NYSE:CCL</t>
  </si>
  <si>
    <t>Carrier Global Corporation (NYSE:CARR)</t>
  </si>
  <si>
    <t>NYSE:CARR</t>
  </si>
  <si>
    <t>Carvana Co. (NYSE:CVNA)</t>
  </si>
  <si>
    <t>NYSE:CVNA</t>
  </si>
  <si>
    <t>Casey's General Stores, Inc. (NASDAQGS:CASY)</t>
  </si>
  <si>
    <t>NASDAQGS:CASY</t>
  </si>
  <si>
    <t>Caterpillar Inc. (NYSE:CAT)</t>
  </si>
  <si>
    <t>NYSE:CAT</t>
  </si>
  <si>
    <t>Cboe Global Markets, Inc. (BATS:CBOE)</t>
  </si>
  <si>
    <t>BATS:CBOE</t>
  </si>
  <si>
    <t>CBRE Group, Inc. (NYSE:CBRE)</t>
  </si>
  <si>
    <t>NYSE:CBRE</t>
  </si>
  <si>
    <t>CDW Corporation (NASDAQGS:CDW)</t>
  </si>
  <si>
    <t>NASDAQGS:CDW</t>
  </si>
  <si>
    <t>Cencora, Inc. (NYSE:COR)</t>
  </si>
  <si>
    <t>NYSE:COR</t>
  </si>
  <si>
    <t>Centene Corporation (NYSE:CNC)</t>
  </si>
  <si>
    <t>NYSE:CNC</t>
  </si>
  <si>
    <t>CenterPoint Energy, Inc. (NYSE:CNP)</t>
  </si>
  <si>
    <t>NYSE:CNP</t>
  </si>
  <si>
    <t>CF Industries Holdings, Inc. (NYSE:CF)</t>
  </si>
  <si>
    <t>NYSE:CF</t>
  </si>
  <si>
    <t>Charles River Laboratories International, Inc. (NYSE:CRL)</t>
  </si>
  <si>
    <t>NYSE:CRL</t>
  </si>
  <si>
    <t>Charter Communications, Inc. (NASDAQGS:CHTR)</t>
  </si>
  <si>
    <t>NASDAQGS:CHTR</t>
  </si>
  <si>
    <t>Chevron Corporation (NYSE:CVX)</t>
  </si>
  <si>
    <t>NYSE:CVX</t>
  </si>
  <si>
    <t>Chipotle Mexican Grill, Inc. (NYSE:CMG)</t>
  </si>
  <si>
    <t>NYSE:CMG</t>
  </si>
  <si>
    <t>Chubb Limited (NYSE:CB)</t>
  </si>
  <si>
    <t>NYSE:CB</t>
  </si>
  <si>
    <t>Church &amp; Dwight Co., Inc. (NYSE:CHD)</t>
  </si>
  <si>
    <t>NYSE:CHD</t>
  </si>
  <si>
    <t>Ciena Corporation (NYSE:CIEN)</t>
  </si>
  <si>
    <t>NYSE:CIEN</t>
  </si>
  <si>
    <t>Cincinnati Financial Corporation (NASDAQGS:CINF)</t>
  </si>
  <si>
    <t>NASDAQGS:CINF</t>
  </si>
  <si>
    <t>Cintas Corporation (NASDAQGS:CTAS)</t>
  </si>
  <si>
    <t>NASDAQGS:CTAS</t>
  </si>
  <si>
    <t>Cisco Systems, Inc. (NASDAQGS:CSCO)</t>
  </si>
  <si>
    <t>NASDAQGS:CSCO</t>
  </si>
  <si>
    <t>Citigroup Inc. (NYSE:C)</t>
  </si>
  <si>
    <t>NYSE:C</t>
  </si>
  <si>
    <t>Citizens Financial Group, Inc. (NYSE:CFG)</t>
  </si>
  <si>
    <t>NYSE:CFG</t>
  </si>
  <si>
    <t>CME Group Inc. (NASDAQGS:CME)</t>
  </si>
  <si>
    <t>NASDAQGS:CME</t>
  </si>
  <si>
    <t>CMS Energy Corporation (NYSE:CMS)</t>
  </si>
  <si>
    <t>NYSE:CMS</t>
  </si>
  <si>
    <t>Cognizant Technology Solutions Corporation (NASDAQGS:CTSH)</t>
  </si>
  <si>
    <t>NASDAQGS:CTSH</t>
  </si>
  <si>
    <t>Coherent Corp. (NYSE:COHR)</t>
  </si>
  <si>
    <t>NYSE:COHR</t>
  </si>
  <si>
    <t>Coinbase Global, Inc. (NASDAQGS:COIN)</t>
  </si>
  <si>
    <t>NASDAQGS:COIN</t>
  </si>
  <si>
    <t>Colgate-Palmolive Company (NYSE:CL)</t>
  </si>
  <si>
    <t>NYSE:CL</t>
  </si>
  <si>
    <t>Comcast Corporation (NASDAQGS:CMCSA)</t>
  </si>
  <si>
    <t>NASDAQGS:CMCSA</t>
  </si>
  <si>
    <t>Comfort Systems USA, Inc. (NYSE:FIX)</t>
  </si>
  <si>
    <t>NYSE:FIX</t>
  </si>
  <si>
    <t>Conagra Brands, Inc. (NYSE:CAG)</t>
  </si>
  <si>
    <t>NYSE:CAG</t>
  </si>
  <si>
    <t>ConocoPhillips (NYSE:COP)</t>
  </si>
  <si>
    <t>NYSE:COP</t>
  </si>
  <si>
    <t>Consolidated Edison, Inc. (NYSE:ED)</t>
  </si>
  <si>
    <t>NYSE:ED</t>
  </si>
  <si>
    <t>Constellation Brands, Inc. (NYSE:STZ)</t>
  </si>
  <si>
    <t>NYSE:STZ</t>
  </si>
  <si>
    <t>Constellation Energy Corporation (NASDAQGS:CEG)</t>
  </si>
  <si>
    <t>NASDAQGS:CEG</t>
  </si>
  <si>
    <t>Copart, Inc. (NASDAQGS:CPRT)</t>
  </si>
  <si>
    <t>NASDAQGS:CPRT</t>
  </si>
  <si>
    <t>Corning Incorporated (NYSE:GLW)</t>
  </si>
  <si>
    <t>NYSE:GLW</t>
  </si>
  <si>
    <t>Corpay, Inc. (NYSE:CPAY)</t>
  </si>
  <si>
    <t>NYSE:CPAY</t>
  </si>
  <si>
    <t>Corteva, Inc. (NYSE:CTVA)</t>
  </si>
  <si>
    <t>NYSE:CTVA</t>
  </si>
  <si>
    <t>CoStar Group, Inc. (NASDAQGS:CSGP)</t>
  </si>
  <si>
    <t>NASDAQGS:CSGP</t>
  </si>
  <si>
    <t>Costco Wholesale Corporation (NASDAQGS:COST)</t>
  </si>
  <si>
    <t>NASDAQGS:COST</t>
  </si>
  <si>
    <t>Coterra Energy Inc. (NYSE:CTRA)</t>
  </si>
  <si>
    <t>NYSE:CTRA</t>
  </si>
  <si>
    <t>CRH plc (NYSE:CRH)</t>
  </si>
  <si>
    <t>NYSE:CRH</t>
  </si>
  <si>
    <t>CrowdStrike Holdings, Inc. (NASDAQGS:CRWD)</t>
  </si>
  <si>
    <t>NASDAQGS:CRWD</t>
  </si>
  <si>
    <t>Crown Castle Inc. (NYSE:CCI)</t>
  </si>
  <si>
    <t>NYSE:CCI</t>
  </si>
  <si>
    <t>CSX Corporation (NASDAQGS:CSX)</t>
  </si>
  <si>
    <t>NASDAQGS:CSX</t>
  </si>
  <si>
    <t>Cummins Inc. (NYSE:CMI)</t>
  </si>
  <si>
    <t>NYSE:CMI</t>
  </si>
  <si>
    <t>CVS Health Corporation (NYSE:CVS)</t>
  </si>
  <si>
    <t>NYSE:CVS</t>
  </si>
  <si>
    <t>D.R. Horton, Inc. (NYSE:DHI)</t>
  </si>
  <si>
    <t>NYSE:DHI</t>
  </si>
  <si>
    <t>Danaher Corporation (NYSE:DHR)</t>
  </si>
  <si>
    <t>NYSE:DHR</t>
  </si>
  <si>
    <t>Darden Restaurants, Inc. (NYSE:DRI)</t>
  </si>
  <si>
    <t>NYSE:DRI</t>
  </si>
  <si>
    <t>Datadog, Inc. (NASDAQGS:DDOG)</t>
  </si>
  <si>
    <t>NASDAQGS:DDOG</t>
  </si>
  <si>
    <t>DaVita Inc. (NYSE:DVA)</t>
  </si>
  <si>
    <t>NYSE:DVA</t>
  </si>
  <si>
    <t>Deckers Outdoor Corporation (NYSE:DECK)</t>
  </si>
  <si>
    <t>NYSE:DECK</t>
  </si>
  <si>
    <t>Deere &amp; Company (NYSE:DE)</t>
  </si>
  <si>
    <t>NYSE:DE</t>
  </si>
  <si>
    <t>Dell Technologies Inc. (NYSE:DELL)</t>
  </si>
  <si>
    <t>NYSE:DELL</t>
  </si>
  <si>
    <t>Delta Air Lines, Inc. (NYSE:DAL)</t>
  </si>
  <si>
    <t>NYSE:DAL</t>
  </si>
  <si>
    <t>Devon Energy Corporation (NYSE:DVN)</t>
  </si>
  <si>
    <t>NYSE:DVN</t>
  </si>
  <si>
    <t>DexCom, Inc. (NASDAQGS:DXCM)</t>
  </si>
  <si>
    <t>NASDAQGS:DXCM</t>
  </si>
  <si>
    <t>Diamondback Energy, Inc. (NASDAQGS:FANG)</t>
  </si>
  <si>
    <t>NASDAQGS:FANG</t>
  </si>
  <si>
    <t>Digital Realty Trust, Inc. (NYSE:DLR)</t>
  </si>
  <si>
    <t>NYSE:DLR</t>
  </si>
  <si>
    <t>Dollar General Corporation (NYSE:DG)</t>
  </si>
  <si>
    <t>NYSE:DG</t>
  </si>
  <si>
    <t>Dollar Tree, Inc. (NASDAQGS:DLTR)</t>
  </si>
  <si>
    <t>NASDAQGS:DLTR</t>
  </si>
  <si>
    <t>Dominion Energy, Inc. (NYSE:D)</t>
  </si>
  <si>
    <t>NYSE:D</t>
  </si>
  <si>
    <t>Domino's Pizza, Inc. (NASDAQGS:DPZ)</t>
  </si>
  <si>
    <t>NASDAQGS:DPZ</t>
  </si>
  <si>
    <t>DoorDash, Inc. (NASDAQGS:DASH)</t>
  </si>
  <si>
    <t>NASDAQGS:DASH</t>
  </si>
  <si>
    <t>Dover Corporation (NYSE:DOV)</t>
  </si>
  <si>
    <t>NYSE:DOV</t>
  </si>
  <si>
    <t>Dow Inc. (NYSE:DOW)</t>
  </si>
  <si>
    <t>NYSE:DOW</t>
  </si>
  <si>
    <t>DTE Energy Company (NYSE:DTE)</t>
  </si>
  <si>
    <t>NYSE:DTE</t>
  </si>
  <si>
    <t>Duke Energy Corporation (NYSE:DUK)</t>
  </si>
  <si>
    <t>NYSE:DUK</t>
  </si>
  <si>
    <t>DuPont de Nemours, Inc. (NYSE:DD)</t>
  </si>
  <si>
    <t>NYSE:DD</t>
  </si>
  <si>
    <t>Eaton Corporation plc (NYSE:ETN)</t>
  </si>
  <si>
    <t>NYSE:ETN</t>
  </si>
  <si>
    <t>eBay Inc. (NASDAQGS:EBAY)</t>
  </si>
  <si>
    <t>NASDAQGS:EBAY</t>
  </si>
  <si>
    <t>EchoStar Corporation (NASDAQGS:SATS)</t>
  </si>
  <si>
    <t>NASDAQGS:SATS</t>
  </si>
  <si>
    <t>Ecolab Inc. (NYSE:ECL)</t>
  </si>
  <si>
    <t>NYSE:ECL</t>
  </si>
  <si>
    <t>Edison International (NYSE:EIX)</t>
  </si>
  <si>
    <t>NYSE:EIX</t>
  </si>
  <si>
    <t>Edwards Lifesciences Corporation (NYSE:EW)</t>
  </si>
  <si>
    <t>NYSE:EW</t>
  </si>
  <si>
    <t>Electronic Arts Inc. (NASDAQGS:EA)</t>
  </si>
  <si>
    <t>NASDAQGS:EA</t>
  </si>
  <si>
    <t>Elevance Health, Inc. (NYSE:ELV)</t>
  </si>
  <si>
    <t>NYSE:ELV</t>
  </si>
  <si>
    <t>Eli Lilly and Company (NYSE:LLY)</t>
  </si>
  <si>
    <t>NYSE:LLY</t>
  </si>
  <si>
    <t>EMCOR Group, Inc. (NYSE:EME)</t>
  </si>
  <si>
    <t>NYSE:EME</t>
  </si>
  <si>
    <t>Emerson Electric Co. (NYSE:EMR)</t>
  </si>
  <si>
    <t>NYSE:EMR</t>
  </si>
  <si>
    <t>Entergy Corporation (NYSE:ETR)</t>
  </si>
  <si>
    <t>NYSE:ETR</t>
  </si>
  <si>
    <t>EOG Resources, Inc. (NYSE:EOG)</t>
  </si>
  <si>
    <t>NYSE:EOG</t>
  </si>
  <si>
    <t>EPAM Systems, Inc. (NYSE:EPAM)</t>
  </si>
  <si>
    <t>NYSE:EPAM</t>
  </si>
  <si>
    <t>EQT Corporation (NYSE:EQT)</t>
  </si>
  <si>
    <t>NYSE:EQT</t>
  </si>
  <si>
    <t>Equifax Inc. (NYSE:EFX)</t>
  </si>
  <si>
    <t>NYSE:EFX</t>
  </si>
  <si>
    <t>Equinix, Inc. (NASDAQGS:EQIX)</t>
  </si>
  <si>
    <t>NASDAQGS:EQIX</t>
  </si>
  <si>
    <t>Equity Residential (NYSE:EQR)</t>
  </si>
  <si>
    <t>NYSE:EQR</t>
  </si>
  <si>
    <t>Erie Indemnity Company (NASDAQGS:ERIE)</t>
  </si>
  <si>
    <t>NASDAQGS:ERIE</t>
  </si>
  <si>
    <t>Essex Property Trust, Inc. (NYSE:ESS)</t>
  </si>
  <si>
    <t>NYSE:ESS</t>
  </si>
  <si>
    <t>Everest Group, Ltd. (NYSE:EG)</t>
  </si>
  <si>
    <t>NYSE:EG</t>
  </si>
  <si>
    <t>Evergy, Inc. (NASDAQGS:EVRG)</t>
  </si>
  <si>
    <t>NASDAQGS:EVRG</t>
  </si>
  <si>
    <t>Eversource Energy (NYSE:ES)</t>
  </si>
  <si>
    <t>NYSE:ES</t>
  </si>
  <si>
    <t>Exelon Corporation (NASDAQGS:EXC)</t>
  </si>
  <si>
    <t>NASDAQGS:EXC</t>
  </si>
  <si>
    <t>Expand Energy Corporation (NASDAQGS:EXE)</t>
  </si>
  <si>
    <t>NASDAQGS:EXE</t>
  </si>
  <si>
    <t>Expedia Group, Inc. (NASDAQGS:EXPE)</t>
  </si>
  <si>
    <t>NASDAQGS:EXPE</t>
  </si>
  <si>
    <t>Expeditors International of Washington, Inc. (NYSE:EXPD)</t>
  </si>
  <si>
    <t>NYSE:EXPD</t>
  </si>
  <si>
    <t>Extra Space Storage Inc. (NYSE:EXR)</t>
  </si>
  <si>
    <t>NYSE:EXR</t>
  </si>
  <si>
    <t>Exxon Mobil Corporation (NYSE:XOM)</t>
  </si>
  <si>
    <t>NYSE:XOM</t>
  </si>
  <si>
    <t>F5, Inc. (NASDAQGS:FFIV)</t>
  </si>
  <si>
    <t>NASDAQGS:FFIV</t>
  </si>
  <si>
    <t>FactSet Research Systems Inc. (NYSE:FDS)</t>
  </si>
  <si>
    <t>NYSE:FDS</t>
  </si>
  <si>
    <t>Fair Isaac Corporation (NYSE:FICO)</t>
  </si>
  <si>
    <t>NYSE:FICO</t>
  </si>
  <si>
    <t>Fastenal Company (NASDAQGS:FAST)</t>
  </si>
  <si>
    <t>NASDAQGS:FAST</t>
  </si>
  <si>
    <t>Federal Realty Investment Trust (NYSE:FRT)</t>
  </si>
  <si>
    <t>NYSE:FRT</t>
  </si>
  <si>
    <t>FedEx Corporation (NYSE:FDX)</t>
  </si>
  <si>
    <t>NYSE:FDX</t>
  </si>
  <si>
    <t>Fidelity National Information Services, Inc. (NYSE:FIS)</t>
  </si>
  <si>
    <t>NYSE:FIS</t>
  </si>
  <si>
    <t>Fifth Third Bancorp (NASDAQGS:FITB)</t>
  </si>
  <si>
    <t>NASDAQGS:FITB</t>
  </si>
  <si>
    <t>First Solar, Inc. (NASDAQGS:FSLR)</t>
  </si>
  <si>
    <t>NASDAQGS:FSLR</t>
  </si>
  <si>
    <t>FirstEnergy Corp. (NYSE:FE)</t>
  </si>
  <si>
    <t>NYSE:FE</t>
  </si>
  <si>
    <t>Fiserv, Inc. (NASDAQGS:FISV)</t>
  </si>
  <si>
    <t>NASDAQGS:FISV</t>
  </si>
  <si>
    <t>Ford Motor Company (NYSE:F)</t>
  </si>
  <si>
    <t>NYSE:F</t>
  </si>
  <si>
    <t>Fortinet, Inc. (NASDAQGS:FTNT)</t>
  </si>
  <si>
    <t>NASDAQGS:FTNT</t>
  </si>
  <si>
    <t>Fortive Corporation (NYSE:FTV)</t>
  </si>
  <si>
    <t>NYSE:FTV</t>
  </si>
  <si>
    <t>Fox Corporation (NASDAQGS:FOXA)</t>
  </si>
  <si>
    <t>NASDAQGS:FOXA</t>
  </si>
  <si>
    <t>Franklin Resources, Inc. (NYSE:BEN)</t>
  </si>
  <si>
    <t>NYSE:BEN</t>
  </si>
  <si>
    <t>Freeport-McMoRan Inc. (NYSE:FCX)</t>
  </si>
  <si>
    <t>NYSE:FCX</t>
  </si>
  <si>
    <t>Garmin Ltd. (NYSE:GRMN)</t>
  </si>
  <si>
    <t>NYSE:GRMN</t>
  </si>
  <si>
    <t>Gartner, Inc. (NYSE:IT)</t>
  </si>
  <si>
    <t>NYSE:IT</t>
  </si>
  <si>
    <t>GE HealthCare Technologies Inc. (NASDAQGS:GEHC)</t>
  </si>
  <si>
    <t>NASDAQGS:GEHC</t>
  </si>
  <si>
    <t>GE Vernova Inc. (NYSE:GEV)</t>
  </si>
  <si>
    <t>NYSE:GEV</t>
  </si>
  <si>
    <t>Gen Digital Inc. (NASDAQGS:GEN)</t>
  </si>
  <si>
    <t>NASDAQGS:GEN</t>
  </si>
  <si>
    <t>Generac Holdings Inc. (NYSE:GNRC)</t>
  </si>
  <si>
    <t>NYSE:GNRC</t>
  </si>
  <si>
    <t>General Dynamics Corporation (NYSE:GD)</t>
  </si>
  <si>
    <t>NYSE:GD</t>
  </si>
  <si>
    <t>General Electric Company (NYSE:GE)</t>
  </si>
  <si>
    <t>NYSE:GE</t>
  </si>
  <si>
    <t>General Mills, Inc. (NYSE:GIS)</t>
  </si>
  <si>
    <t>NYSE:GIS</t>
  </si>
  <si>
    <t>General Motors Company (NYSE:GM)</t>
  </si>
  <si>
    <t>NYSE:GM</t>
  </si>
  <si>
    <t>Genuine Parts Company (NYSE:GPC)</t>
  </si>
  <si>
    <t>NYSE:GPC</t>
  </si>
  <si>
    <t>Gilead Sciences, Inc. (NASDAQGS:GILD)</t>
  </si>
  <si>
    <t>NASDAQGS:GILD</t>
  </si>
  <si>
    <t>Global Payments Inc. (NYSE:GPN)</t>
  </si>
  <si>
    <t>NYSE:GPN</t>
  </si>
  <si>
    <t>Globe Life Inc. (NYSE:GL)</t>
  </si>
  <si>
    <t>NYSE:GL</t>
  </si>
  <si>
    <t>GoDaddy Inc. (NYSE:GDDY)</t>
  </si>
  <si>
    <t>NYSE:GDDY</t>
  </si>
  <si>
    <t>Halliburton Company (NYSE:HAL)</t>
  </si>
  <si>
    <t>NYSE:HAL</t>
  </si>
  <si>
    <t>Hasbro, Inc. (NASDAQGS:HAS)</t>
  </si>
  <si>
    <t>NASDAQGS:HAS</t>
  </si>
  <si>
    <t>HCA Healthcare, Inc. (NYSE:HCA)</t>
  </si>
  <si>
    <t>NYSE:HCA</t>
  </si>
  <si>
    <t>Healthpeak Properties, Inc. (NYSE:DOC)</t>
  </si>
  <si>
    <t>NYSE:DOC</t>
  </si>
  <si>
    <t>Henry Schein, Inc. (NASDAQGS:HSIC)</t>
  </si>
  <si>
    <t>NASDAQGS:HSIC</t>
  </si>
  <si>
    <t>Hewlett Packard Enterprise Company (NYSE:HPE)</t>
  </si>
  <si>
    <t>NYSE:HPE</t>
  </si>
  <si>
    <t>Hilton Worldwide Holdings Inc. (NYSE:HLT)</t>
  </si>
  <si>
    <t>NYSE:HLT</t>
  </si>
  <si>
    <t>Honeywell International Inc. (NASDAQGS:HON)</t>
  </si>
  <si>
    <t>NASDAQGS:HON</t>
  </si>
  <si>
    <t>Hormel Foods Corporation (NYSE:HRL)</t>
  </si>
  <si>
    <t>NYSE:HRL</t>
  </si>
  <si>
    <t>Host Hotels &amp; Resorts, Inc. (NASDAQGS:HST)</t>
  </si>
  <si>
    <t>NASDAQGS:HST</t>
  </si>
  <si>
    <t>Howmet Aerospace Inc. (NYSE:HWM)</t>
  </si>
  <si>
    <t>NYSE:HWM</t>
  </si>
  <si>
    <t>HP Inc. (NYSE:HPQ)</t>
  </si>
  <si>
    <t>NYSE:HPQ</t>
  </si>
  <si>
    <t>Hubbell Incorporated (NYSE:HUBB)</t>
  </si>
  <si>
    <t>NYSE:HUBB</t>
  </si>
  <si>
    <t>Humana Inc. (NYSE:HUM)</t>
  </si>
  <si>
    <t>NYSE:HUM</t>
  </si>
  <si>
    <t>Huntington Bancshares Incorporated (NASDAQGS:HBAN)</t>
  </si>
  <si>
    <t>NASDAQGS:HBAN</t>
  </si>
  <si>
    <t>Huntington Ingalls Industries, Inc. (NYSE:HII)</t>
  </si>
  <si>
    <t>NYSE:HII</t>
  </si>
  <si>
    <t>IDEX Corporation (NYSE:IEX)</t>
  </si>
  <si>
    <t>NYSE:IEX</t>
  </si>
  <si>
    <t>IDEXX Laboratories, Inc. (NASDAQGS:IDXX)</t>
  </si>
  <si>
    <t>NASDAQGS:IDXX</t>
  </si>
  <si>
    <t>Illinois Tool Works Inc. (NYSE:ITW)</t>
  </si>
  <si>
    <t>NYSE:ITW</t>
  </si>
  <si>
    <t>Incyte Corporation (NASDAQGS:INCY)</t>
  </si>
  <si>
    <t>NASDAQGS:INCY</t>
  </si>
  <si>
    <t>Ingersoll Rand Inc. (NYSE:IR)</t>
  </si>
  <si>
    <t>NYSE:IR</t>
  </si>
  <si>
    <t>Insulet Corporation (NASDAQGS:PODD)</t>
  </si>
  <si>
    <t>NASDAQGS:PODD</t>
  </si>
  <si>
    <t>Intel Corporation (NASDAQGS:INTC)</t>
  </si>
  <si>
    <t>NASDAQGS:INTC</t>
  </si>
  <si>
    <t>Interactive Brokers Group, Inc. (NASDAQGS:IBKR)</t>
  </si>
  <si>
    <t>NASDAQGS:IBKR</t>
  </si>
  <si>
    <t>Intercontinental Exchange, Inc. (NYSE:ICE)</t>
  </si>
  <si>
    <t>NYSE:ICE</t>
  </si>
  <si>
    <t>International Business Machines Corporation (NYSE:IBM)</t>
  </si>
  <si>
    <t>NYSE:IBM</t>
  </si>
  <si>
    <t>International Flavors &amp; Fragrances Inc. (NYSE:IFF)</t>
  </si>
  <si>
    <t>NYSE:IFF</t>
  </si>
  <si>
    <t>International Paper Company (NYSE:IP)</t>
  </si>
  <si>
    <t>NYSE:IP</t>
  </si>
  <si>
    <t>Intuit Inc. (NASDAQGS:INTU)</t>
  </si>
  <si>
    <t>NASDAQGS:INTU</t>
  </si>
  <si>
    <t>Intuitive Surgical, Inc. (NASDAQGS:ISRG)</t>
  </si>
  <si>
    <t>NASDAQGS:ISRG</t>
  </si>
  <si>
    <t>Invesco Ltd. (NYSE:IVZ)</t>
  </si>
  <si>
    <t>NYSE:IVZ</t>
  </si>
  <si>
    <t>Invitation Homes Inc. (NYSE:INVH)</t>
  </si>
  <si>
    <t>NYSE:INVH</t>
  </si>
  <si>
    <t>IQVIA Holdings Inc. (NYSE:IQV)</t>
  </si>
  <si>
    <t>NYSE:IQV</t>
  </si>
  <si>
    <t>Iron Mountain Incorporated (NYSE:IRM)</t>
  </si>
  <si>
    <t>NYSE:IRM</t>
  </si>
  <si>
    <t>J.B. Hunt Transport Services, Inc. (NASDAQGS:JBHT)</t>
  </si>
  <si>
    <t>NASDAQGS:JBHT</t>
  </si>
  <si>
    <t>Jabil Inc. (NYSE:JBL)</t>
  </si>
  <si>
    <t>NYSE:JBL</t>
  </si>
  <si>
    <t>Jack Henry &amp; Associates, Inc. (NASDAQGS:JKHY)</t>
  </si>
  <si>
    <t>NASDAQGS:JKHY</t>
  </si>
  <si>
    <t>Jacobs Solutions Inc. (NYSE:J)</t>
  </si>
  <si>
    <t>NYSE:J</t>
  </si>
  <si>
    <t>Johnson &amp; Johnson (NYSE:JNJ)</t>
  </si>
  <si>
    <t>NYSE:JNJ</t>
  </si>
  <si>
    <t>Johnson Controls International plc (NYSE:JCI)</t>
  </si>
  <si>
    <t>NYSE:JCI</t>
  </si>
  <si>
    <t>JPMorgan Chase &amp; Co. (NYSE:JPM)</t>
  </si>
  <si>
    <t>NYSE:JPM</t>
  </si>
  <si>
    <t>Kenvue Inc. (NYSE:KVUE)</t>
  </si>
  <si>
    <t>NYSE:KVUE</t>
  </si>
  <si>
    <t>Keurig Dr Pepper Inc. (NASDAQGS:KDP)</t>
  </si>
  <si>
    <t>NASDAQGS:KDP</t>
  </si>
  <si>
    <t>KeyCorp (NYSE:KEY)</t>
  </si>
  <si>
    <t>NYSE:KEY</t>
  </si>
  <si>
    <t>Keysight Technologies, Inc. (NYSE:KEYS)</t>
  </si>
  <si>
    <t>NYSE:KEYS</t>
  </si>
  <si>
    <t>Kimberly-Clark Corporation (NASDAQGS:KMB)</t>
  </si>
  <si>
    <t>NASDAQGS:KMB</t>
  </si>
  <si>
    <t>Kimco Realty Corporation (NYSE:KIM)</t>
  </si>
  <si>
    <t>NYSE:KIM</t>
  </si>
  <si>
    <t>Kinder Morgan, Inc. (NYSE:KMI)</t>
  </si>
  <si>
    <t>NYSE:KMI</t>
  </si>
  <si>
    <t>KKR &amp; Co. Inc. (NYSE:KKR)</t>
  </si>
  <si>
    <t>NYSE:KKR</t>
  </si>
  <si>
    <t>KLA Corporation (NASDAQGS:KLAC)</t>
  </si>
  <si>
    <t>NASDAQGS:KLAC</t>
  </si>
  <si>
    <t>L3Harris Technologies, Inc. (NYSE:LHX)</t>
  </si>
  <si>
    <t>NYSE:LHX</t>
  </si>
  <si>
    <t>Labcorp Holdings Inc. (NYSE:LH)</t>
  </si>
  <si>
    <t>NYSE:LH</t>
  </si>
  <si>
    <t>Lam Research Corporation (NASDAQGS:LRCX)</t>
  </si>
  <si>
    <t>NASDAQGS:LRCX</t>
  </si>
  <si>
    <t>Las Vegas Sands Corp. (NYSE:LVS)</t>
  </si>
  <si>
    <t>NYSE:LVS</t>
  </si>
  <si>
    <t>Leidos Holdings, Inc. (NYSE:LDOS)</t>
  </si>
  <si>
    <t>NYSE:LDOS</t>
  </si>
  <si>
    <t>Lennar Corporation (NYSE:LEN)</t>
  </si>
  <si>
    <t>NYSE:LEN</t>
  </si>
  <si>
    <t>Lennox International Inc. (NYSE:LII)</t>
  </si>
  <si>
    <t>NYSE:LII</t>
  </si>
  <si>
    <t>Linde plc (NASDAQGS:LIN)</t>
  </si>
  <si>
    <t>NASDAQGS:LIN</t>
  </si>
  <si>
    <t>Live Nation Entertainment, Inc. (NYSE:LYV)</t>
  </si>
  <si>
    <t>NYSE:LYV</t>
  </si>
  <si>
    <t>Lockheed Martin Corporation (NYSE:LMT)</t>
  </si>
  <si>
    <t>NYSE:LMT</t>
  </si>
  <si>
    <t>Loews Corporation (NYSE:L)</t>
  </si>
  <si>
    <t>NYSE:L</t>
  </si>
  <si>
    <t>Lowe's Companies, Inc. (NYSE:LOW)</t>
  </si>
  <si>
    <t>NYSE:LOW</t>
  </si>
  <si>
    <t>lululemon athletica inc. (NASDAQGS:LULU)</t>
  </si>
  <si>
    <t>NASDAQGS:LULU</t>
  </si>
  <si>
    <t>Lumentum Holdings Inc. (NASDAQGS:LITE)</t>
  </si>
  <si>
    <t>NASDAQGS:LITE</t>
  </si>
  <si>
    <t>LyondellBasell Industries N.V. (NYSE:LYB)</t>
  </si>
  <si>
    <t>NYSE:LYB</t>
  </si>
  <si>
    <t>M&amp;T Bank Corporation (NYSE:MTB)</t>
  </si>
  <si>
    <t>NYSE:MTB</t>
  </si>
  <si>
    <t>Marathon Petroleum Corporation (NYSE:MPC)</t>
  </si>
  <si>
    <t>NYSE:MPC</t>
  </si>
  <si>
    <t>Marriott International, Inc. (NASDAQGS:MAR)</t>
  </si>
  <si>
    <t>NASDAQGS:MAR</t>
  </si>
  <si>
    <t>Marsh &amp; McLennan Companies, Inc. (NYSE:MRSH)</t>
  </si>
  <si>
    <t>NYSE:MRSH</t>
  </si>
  <si>
    <t>Martin Marietta Materials, Inc. (NYSE:MLM)</t>
  </si>
  <si>
    <t>NYSE:MLM</t>
  </si>
  <si>
    <t>Masco Corporation (NYSE:MAS)</t>
  </si>
  <si>
    <t>NYSE:MAS</t>
  </si>
  <si>
    <t>Mastercard Incorporated (NYSE:MA)</t>
  </si>
  <si>
    <t>NYSE:MA</t>
  </si>
  <si>
    <t>McCormick &amp; Company, Incorporated (NYSE:MKC)</t>
  </si>
  <si>
    <t>NYSE:MKC</t>
  </si>
  <si>
    <t>McDonald's Corporation (NYSE:MCD)</t>
  </si>
  <si>
    <t>NYSE:MCD</t>
  </si>
  <si>
    <t>McKesson Corporation (NYSE:MCK)</t>
  </si>
  <si>
    <t>NYSE:MCK</t>
  </si>
  <si>
    <t>Medtronic plc (NYSE:MDT)</t>
  </si>
  <si>
    <t>NYSE:MDT</t>
  </si>
  <si>
    <t>Merck &amp; Co., Inc. (NYSE:MRK)</t>
  </si>
  <si>
    <t>NYSE:MRK</t>
  </si>
  <si>
    <t>Meta Platforms, Inc. (NASDAQGS:META)</t>
  </si>
  <si>
    <t>NASDAQGS:META</t>
  </si>
  <si>
    <t>MetLife, Inc. (NYSE:MET)</t>
  </si>
  <si>
    <t>NYSE:MET</t>
  </si>
  <si>
    <t>Mettler-Toledo International Inc. (NYSE:MTD)</t>
  </si>
  <si>
    <t>NYSE:MTD</t>
  </si>
  <si>
    <t>MGM Resorts International (NYSE:MGM)</t>
  </si>
  <si>
    <t>NYSE:MGM</t>
  </si>
  <si>
    <t>Microchip Technology Incorporated (NASDAQGS:MCHP)</t>
  </si>
  <si>
    <t>NASDAQGS:MCHP</t>
  </si>
  <si>
    <t>Micron Technology, Inc. (NASDAQGS:MU)</t>
  </si>
  <si>
    <t>NASDAQGS:MU</t>
  </si>
  <si>
    <t>Microsoft Corporation (NASDAQGS:MSFT)</t>
  </si>
  <si>
    <t>NASDAQGS:MSFT</t>
  </si>
  <si>
    <t>Mid-America Apartment Communities, Inc. (NYSE:MAA)</t>
  </si>
  <si>
    <t>NYSE:MAA</t>
  </si>
  <si>
    <t>Moderna, Inc. (NASDAQGS:MRNA)</t>
  </si>
  <si>
    <t>NASDAQGS:MRNA</t>
  </si>
  <si>
    <t>Molson Coors Beverage Company (NYSE:TAP)</t>
  </si>
  <si>
    <t>NYSE:TAP</t>
  </si>
  <si>
    <t>Mondelez International, Inc. (NASDAQGS:MDLZ)</t>
  </si>
  <si>
    <t>NASDAQGS:MDLZ</t>
  </si>
  <si>
    <t>Monolithic Power Systems, Inc. (NASDAQGS:MPWR)</t>
  </si>
  <si>
    <t>NASDAQGS:MPWR</t>
  </si>
  <si>
    <t>Monster Beverage Corporation (NASDAQGS:MNST)</t>
  </si>
  <si>
    <t>NASDAQGS:MNST</t>
  </si>
  <si>
    <t>Moody's Corporation (NYSE:MCO)</t>
  </si>
  <si>
    <t>NYSE:MCO</t>
  </si>
  <si>
    <t>Morgan Stanley (NYSE:MS)</t>
  </si>
  <si>
    <t>NYSE:MS</t>
  </si>
  <si>
    <t>Motorola Solutions, Inc. (NYSE:MSI)</t>
  </si>
  <si>
    <t>NYSE:MSI</t>
  </si>
  <si>
    <t>MSCI Inc. (NYSE:MSCI)</t>
  </si>
  <si>
    <t>NYSE:MSCI</t>
  </si>
  <si>
    <t>Nasdaq, Inc. (NASDAQGS:NDAQ)</t>
  </si>
  <si>
    <t>NASDAQGS:NDAQ</t>
  </si>
  <si>
    <t>NetApp, Inc. (NASDAQGS:NTAP)</t>
  </si>
  <si>
    <t>NASDAQGS:NTAP</t>
  </si>
  <si>
    <t>Netflix, Inc. (NASDAQGS:NFLX)</t>
  </si>
  <si>
    <t>NASDAQGS:NFLX</t>
  </si>
  <si>
    <t>Newmont Corporation (NYSE:NEM)</t>
  </si>
  <si>
    <t>NYSE:NEM</t>
  </si>
  <si>
    <t>News Corporation (NASDAQGS:NWSA)</t>
  </si>
  <si>
    <t>NASDAQGS:NWSA</t>
  </si>
  <si>
    <t>NextEra Energy, Inc. (NYSE:NEE)</t>
  </si>
  <si>
    <t>NYSE:NEE</t>
  </si>
  <si>
    <t>NIKE, Inc. (NYSE:NKE)</t>
  </si>
  <si>
    <t>NYSE:NKE</t>
  </si>
  <si>
    <t>NiSource Inc. (NYSE:NI)</t>
  </si>
  <si>
    <t>NYSE:NI</t>
  </si>
  <si>
    <t>Nordson Corporation (NASDAQGS:NDSN)</t>
  </si>
  <si>
    <t>NASDAQGS:NDSN</t>
  </si>
  <si>
    <t>Norfolk Southern Corporation (NYSE:NSC)</t>
  </si>
  <si>
    <t>NYSE:NSC</t>
  </si>
  <si>
    <t>Northern Trust Corporation (NASDAQGS:NTRS)</t>
  </si>
  <si>
    <t>NASDAQGS:NTRS</t>
  </si>
  <si>
    <t>Northrop Grumman Corporation (NYSE:NOC)</t>
  </si>
  <si>
    <t>NYSE:NOC</t>
  </si>
  <si>
    <t>Norwegian Cruise Line Holdings Ltd. (NYSE:NCLH)</t>
  </si>
  <si>
    <t>NYSE:NCLH</t>
  </si>
  <si>
    <t>NRG Energy, Inc. (NYSE:NRG)</t>
  </si>
  <si>
    <t>NYSE:NRG</t>
  </si>
  <si>
    <t>Nucor Corporation (NYSE:NUE)</t>
  </si>
  <si>
    <t>NYSE:NUE</t>
  </si>
  <si>
    <t>NVIDIA Corporation (NASDAQGS:NVDA)</t>
  </si>
  <si>
    <t>NASDAQGS:NVDA</t>
  </si>
  <si>
    <t>NVR, Inc. (NYSE:NVR)</t>
  </si>
  <si>
    <t>NYSE:NVR</t>
  </si>
  <si>
    <t>NXP Semiconductors N.V. (NASDAQGS:NXPI)</t>
  </si>
  <si>
    <t>NASDAQGS:NXPI</t>
  </si>
  <si>
    <t>Occidental Petroleum Corporation (NYSE:OXY)</t>
  </si>
  <si>
    <t>NYSE:OXY</t>
  </si>
  <si>
    <t>Old Dominion Freight Line, Inc. (NASDAQGS:ODFL)</t>
  </si>
  <si>
    <t>NASDAQGS:ODFL</t>
  </si>
  <si>
    <t>Omnicom Group Inc. (NYSE:OMC)</t>
  </si>
  <si>
    <t>NYSE:OMC</t>
  </si>
  <si>
    <t>ON Semiconductor Corporation (NASDAQGS:ON)</t>
  </si>
  <si>
    <t>NASDAQGS:ON</t>
  </si>
  <si>
    <t>ONEOK, Inc. (NYSE:OKE)</t>
  </si>
  <si>
    <t>NYSE:OKE</t>
  </si>
  <si>
    <t>Oracle Corporation (NYSE:ORCL)</t>
  </si>
  <si>
    <t>NYSE:ORCL</t>
  </si>
  <si>
    <t>O'Reilly Automotive, Inc. (NASDAQGS:ORLY)</t>
  </si>
  <si>
    <t>NASDAQGS:ORLY</t>
  </si>
  <si>
    <t>Otis Worldwide Corporation (NYSE:OTIS)</t>
  </si>
  <si>
    <t>NYSE:OTIS</t>
  </si>
  <si>
    <t>PACCAR Inc (NASDAQGS:PCAR)</t>
  </si>
  <si>
    <t>NASDAQGS:PCAR</t>
  </si>
  <si>
    <t>Packaging Corporation of America (NYSE:PKG)</t>
  </si>
  <si>
    <t>NYSE:PKG</t>
  </si>
  <si>
    <t>Palantir Technologies Inc. (NASDAQGS:PLTR)</t>
  </si>
  <si>
    <t>NASDAQGS:PLTR</t>
  </si>
  <si>
    <t>Palo Alto Networks, Inc. (NASDAQGS:PANW)</t>
  </si>
  <si>
    <t>NASDAQGS:PANW</t>
  </si>
  <si>
    <t>Paramount Skydance Corporation (NASDAQGS:PSKY)</t>
  </si>
  <si>
    <t>NASDAQGS:PSKY</t>
  </si>
  <si>
    <t>Parker-Hannifin Corporation (NYSE:PH)</t>
  </si>
  <si>
    <t>NYSE:PH</t>
  </si>
  <si>
    <t>Paychex, Inc. (NASDAQGS:PAYX)</t>
  </si>
  <si>
    <t>NASDAQGS:PAYX</t>
  </si>
  <si>
    <t>PayPal Holdings, Inc. (NASDAQGS:PYPL)</t>
  </si>
  <si>
    <t>NASDAQGS:PYPL</t>
  </si>
  <si>
    <t>Pentair plc (NYSE:PNR)</t>
  </si>
  <si>
    <t>NYSE:PNR</t>
  </si>
  <si>
    <t>PepsiCo, Inc. (NASDAQGS:PEP)</t>
  </si>
  <si>
    <t>NASDAQGS:PEP</t>
  </si>
  <si>
    <t>Pfizer Inc. (NYSE:PFE)</t>
  </si>
  <si>
    <t>NYSE:PFE</t>
  </si>
  <si>
    <t>PG&amp;E Corporation (NYSE:PCG)</t>
  </si>
  <si>
    <t>NYSE:PCG</t>
  </si>
  <si>
    <t>Philip Morris International Inc. (NYSE:PM)</t>
  </si>
  <si>
    <t>NYSE:PM</t>
  </si>
  <si>
    <t>Phillips 66 (NYSE:PSX)</t>
  </si>
  <si>
    <t>NYSE:PSX</t>
  </si>
  <si>
    <t>Pinnacle West Capital Corporation (NYSE:PNW)</t>
  </si>
  <si>
    <t>NYSE:PNW</t>
  </si>
  <si>
    <t>Pool Corporation (NASDAQGS:POOL)</t>
  </si>
  <si>
    <t>NASDAQGS:POOL</t>
  </si>
  <si>
    <t>PPG Industries, Inc. (NYSE:PPG)</t>
  </si>
  <si>
    <t>NYSE:PPG</t>
  </si>
  <si>
    <t>PPL Corporation (NYSE:PPL)</t>
  </si>
  <si>
    <t>NYSE:PPL</t>
  </si>
  <si>
    <t>Principal Financial Group, Inc. (NASDAQGS:PFG)</t>
  </si>
  <si>
    <t>NASDAQGS:PFG</t>
  </si>
  <si>
    <t>Prologis, Inc. (NYSE:PLD)</t>
  </si>
  <si>
    <t>NYSE:PLD</t>
  </si>
  <si>
    <t>Prudential Financial, Inc. (NYSE:PRU)</t>
  </si>
  <si>
    <t>NYSE:PRU</t>
  </si>
  <si>
    <t>PTC Inc. (NASDAQGS:PTC)</t>
  </si>
  <si>
    <t>NASDAQGS:PTC</t>
  </si>
  <si>
    <t>Public Service Enterprise Group Incorporated (NYSE:PEG)</t>
  </si>
  <si>
    <t>NYSE:PEG</t>
  </si>
  <si>
    <t>Public Storage (NYSE:PSA)</t>
  </si>
  <si>
    <t>NYSE:PSA</t>
  </si>
  <si>
    <t>PulteGroup, Inc. (NYSE:PHM)</t>
  </si>
  <si>
    <t>NYSE:PHM</t>
  </si>
  <si>
    <t>Qnity Electronics, Inc. (NYSE:Q)</t>
  </si>
  <si>
    <t>NYSE:Q</t>
  </si>
  <si>
    <t>QUALCOMM Incorporated (NASDAQGS:QCOM)</t>
  </si>
  <si>
    <t>NASDAQGS:QCOM</t>
  </si>
  <si>
    <t>Quanta Services, Inc. (NYSE:PWR)</t>
  </si>
  <si>
    <t>NYSE:PWR</t>
  </si>
  <si>
    <t>Quest Diagnostics Incorporated (NYSE:DGX)</t>
  </si>
  <si>
    <t>NYSE:DGX</t>
  </si>
  <si>
    <t>Ralph Lauren Corporation (NYSE:RL)</t>
  </si>
  <si>
    <t>NYSE:RL</t>
  </si>
  <si>
    <t>Raymond James Financial, Inc. (NYSE:RJF)</t>
  </si>
  <si>
    <t>NYSE:RJF</t>
  </si>
  <si>
    <t>Realty Income Corporation (NYSE:O)</t>
  </si>
  <si>
    <t>NYSE:O</t>
  </si>
  <si>
    <t>Regency Centers Corporation (NASDAQGS:REG)</t>
  </si>
  <si>
    <t>NASDAQGS:REG</t>
  </si>
  <si>
    <t>Regeneron Pharmaceuticals, Inc. (NASDAQGS:REGN)</t>
  </si>
  <si>
    <t>NASDAQGS:REGN</t>
  </si>
  <si>
    <t>Regions Financial Corporation (NYSE:RF)</t>
  </si>
  <si>
    <t>NYSE:RF</t>
  </si>
  <si>
    <t>Republic Services, Inc. (NYSE:RSG)</t>
  </si>
  <si>
    <t>NYSE:RSG</t>
  </si>
  <si>
    <t>ResMed Inc. (NYSE:RMD)</t>
  </si>
  <si>
    <t>NYSE:RMD</t>
  </si>
  <si>
    <t>Revvity, Inc. (NYSE:RVTY)</t>
  </si>
  <si>
    <t>NYSE:RVTY</t>
  </si>
  <si>
    <t>Robinhood Markets, Inc. (NASDAQGS:HOOD)</t>
  </si>
  <si>
    <t>NASDAQGS:HOOD</t>
  </si>
  <si>
    <t>Rockwell Automation, Inc. (NYSE:ROK)</t>
  </si>
  <si>
    <t>NYSE:ROK</t>
  </si>
  <si>
    <t>Rollins, Inc. (NYSE:ROL)</t>
  </si>
  <si>
    <t>NYSE:ROL</t>
  </si>
  <si>
    <t>Roper Technologies, Inc. (NASDAQGS:ROP)</t>
  </si>
  <si>
    <t>NASDAQGS:ROP</t>
  </si>
  <si>
    <t>Ross Stores, Inc. (NASDAQGS:ROST)</t>
  </si>
  <si>
    <t>NASDAQGS:ROST</t>
  </si>
  <si>
    <t>Royal Caribbean Cruises Ltd. (NYSE:RCL)</t>
  </si>
  <si>
    <t>NYSE:RCL</t>
  </si>
  <si>
    <t>RTX Corporation (NYSE:RTX)</t>
  </si>
  <si>
    <t>NYSE:RTX</t>
  </si>
  <si>
    <t>S&amp;P Global Inc. (NYSE:SPGI)</t>
  </si>
  <si>
    <t>NYSE:SPGI</t>
  </si>
  <si>
    <t>Salesforce, Inc. (NYSE:CRM)</t>
  </si>
  <si>
    <t>NYSE:CRM</t>
  </si>
  <si>
    <t>Sandisk Corporation (NASDAQGS:SNDK)</t>
  </si>
  <si>
    <t>NASDAQGS:SNDK</t>
  </si>
  <si>
    <t>SBA Communications Corporation (NASDAQGS:SBAC)</t>
  </si>
  <si>
    <t>NASDAQGS:SBAC</t>
  </si>
  <si>
    <t>Seagate Technology Holdings plc (NASDAQGS:STX)</t>
  </si>
  <si>
    <t>NASDAQGS:STX</t>
  </si>
  <si>
    <t>Sempra (NYSE:SRE)</t>
  </si>
  <si>
    <t>NYSE:SRE</t>
  </si>
  <si>
    <t>ServiceNow, Inc. (NYSE:NOW)</t>
  </si>
  <si>
    <t>NYSE:NOW</t>
  </si>
  <si>
    <t>Simon Property Group, Inc. (NYSE:SPG)</t>
  </si>
  <si>
    <t>NYSE:SPG</t>
  </si>
  <si>
    <t>Skyworks Solutions, Inc. (NASDAQGS:SWKS)</t>
  </si>
  <si>
    <t>NASDAQGS:SWKS</t>
  </si>
  <si>
    <t>SLB N.V. (NYSE:SLB)</t>
  </si>
  <si>
    <t>NYSE:SLB</t>
  </si>
  <si>
    <t>Smurfit Westrock Plc (NYSE:SW)</t>
  </si>
  <si>
    <t>NYSE:SW</t>
  </si>
  <si>
    <t>Snap-on Incorporated (NYSE:SNA)</t>
  </si>
  <si>
    <t>NYSE:SNA</t>
  </si>
  <si>
    <t>Solventum Corporation (NYSE:SOLV)</t>
  </si>
  <si>
    <t>NYSE:SOLV</t>
  </si>
  <si>
    <t>Southwest Airlines Co. (NYSE:LUV)</t>
  </si>
  <si>
    <t>NYSE:LUV</t>
  </si>
  <si>
    <t>Stanley Black &amp; Decker, Inc. (NYSE:SWK)</t>
  </si>
  <si>
    <t>NYSE:SWK</t>
  </si>
  <si>
    <t>Starbucks Corporation (NASDAQGS:SBUX)</t>
  </si>
  <si>
    <t>NASDAQGS:SBUX</t>
  </si>
  <si>
    <t>State Street Corporation (NYSE:STT)</t>
  </si>
  <si>
    <t>NYSE:STT</t>
  </si>
  <si>
    <t>Steel Dynamics, Inc. (NASDAQGS:STLD)</t>
  </si>
  <si>
    <t>NASDAQGS:STLD</t>
  </si>
  <si>
    <t>STERIS plc (NYSE:STE)</t>
  </si>
  <si>
    <t>NYSE:STE</t>
  </si>
  <si>
    <t>Stryker Corporation (NYSE:SYK)</t>
  </si>
  <si>
    <t>NYSE:SYK</t>
  </si>
  <si>
    <t>Super Micro Computer, Inc. (NASDAQGS:SMCI)</t>
  </si>
  <si>
    <t>NASDAQGS:SMCI</t>
  </si>
  <si>
    <t>Synchrony Financial (NYSE:SYF)</t>
  </si>
  <si>
    <t>NYSE:SYF</t>
  </si>
  <si>
    <t>Synopsys, Inc. (NASDAQGS:SNPS)</t>
  </si>
  <si>
    <t>NASDAQGS:SNPS</t>
  </si>
  <si>
    <t>Sysco Corporation (NYSE:SYY)</t>
  </si>
  <si>
    <t>NYSE:SYY</t>
  </si>
  <si>
    <t>T. Rowe Price Group, Inc. (NASDAQGS:TROW)</t>
  </si>
  <si>
    <t>NASDAQGS:TROW</t>
  </si>
  <si>
    <t>Take-Two Interactive Software, Inc. (NASDAQGS:TTWO)</t>
  </si>
  <si>
    <t>NASDAQGS:TTWO</t>
  </si>
  <si>
    <t>Tapestry, Inc. (NYSE:TPR)</t>
  </si>
  <si>
    <t>NYSE:TPR</t>
  </si>
  <si>
    <t>Targa Resources Corp. (NYSE:TRGP)</t>
  </si>
  <si>
    <t>NYSE:TRGP</t>
  </si>
  <si>
    <t>Target Corporation (NYSE:TGT)</t>
  </si>
  <si>
    <t>NYSE:TGT</t>
  </si>
  <si>
    <t>TE Connectivity plc (NYSE:TEL)</t>
  </si>
  <si>
    <t>NYSE:TEL</t>
  </si>
  <si>
    <t>Teledyne Technologies Incorporated (NYSE:TDY)</t>
  </si>
  <si>
    <t>NYSE:TDY</t>
  </si>
  <si>
    <t>Teradyne, Inc. (NASDAQGS:TER)</t>
  </si>
  <si>
    <t>NASDAQGS:TER</t>
  </si>
  <si>
    <t>Tesla, Inc. (NASDAQGS:TSLA)</t>
  </si>
  <si>
    <t>NASDAQGS:TSLA</t>
  </si>
  <si>
    <t>Texas Instruments Incorporated (NASDAQGS:TXN)</t>
  </si>
  <si>
    <t>NASDAQGS:TXN</t>
  </si>
  <si>
    <t>Texas Pacific Land Corporation (NYSE:TPL)</t>
  </si>
  <si>
    <t>NYSE:TPL</t>
  </si>
  <si>
    <t>Textron Inc. (NYSE:TXT)</t>
  </si>
  <si>
    <t>NYSE:TXT</t>
  </si>
  <si>
    <t>The AES Corporation (NYSE:AES)</t>
  </si>
  <si>
    <t>NYSE:AES</t>
  </si>
  <si>
    <t>The Allstate Corporation (NYSE:ALL)</t>
  </si>
  <si>
    <t>NYSE:ALL</t>
  </si>
  <si>
    <t>The Bank of New York Mellon Corporation (NYSE:BK)</t>
  </si>
  <si>
    <t>NYSE:BK</t>
  </si>
  <si>
    <t>The Boeing Company (NYSE:BA)</t>
  </si>
  <si>
    <t>NYSE:BA</t>
  </si>
  <si>
    <t>The Campbell's Company (NASDAQGS:CPB)</t>
  </si>
  <si>
    <t>NASDAQGS:CPB</t>
  </si>
  <si>
    <t>The Charles Schwab Corporation (NYSE:SCHW)</t>
  </si>
  <si>
    <t>NYSE:SCHW</t>
  </si>
  <si>
    <t>The Cigna Group (NYSE:CI)</t>
  </si>
  <si>
    <t>NYSE:CI</t>
  </si>
  <si>
    <t>The Clorox Company (NYSE:CLX)</t>
  </si>
  <si>
    <t>NYSE:CLX</t>
  </si>
  <si>
    <t>The Coca-Cola Company (NYSE:KO)</t>
  </si>
  <si>
    <t>NYSE:KO</t>
  </si>
  <si>
    <t>The Cooper Companies, Inc. (NASDAQGS:COO)</t>
  </si>
  <si>
    <t>NASDAQGS:COO</t>
  </si>
  <si>
    <t>The Estée Lauder Companies Inc. (NYSE:EL)</t>
  </si>
  <si>
    <t>NYSE:EL</t>
  </si>
  <si>
    <t>The Goldman Sachs Group, Inc. (NYSE:GS)</t>
  </si>
  <si>
    <t>NYSE:GS</t>
  </si>
  <si>
    <t>The Hartford Insurance Group, Inc. (NYSE:HIG)</t>
  </si>
  <si>
    <t>NYSE:HIG</t>
  </si>
  <si>
    <t>The Hershey Company (NYSE:HSY)</t>
  </si>
  <si>
    <t>NYSE:HSY</t>
  </si>
  <si>
    <t>The Home Depot, Inc. (NYSE:HD)</t>
  </si>
  <si>
    <t>NYSE:HD</t>
  </si>
  <si>
    <t>The J. M. Smucker Company (NYSE:SJM)</t>
  </si>
  <si>
    <t>NYSE:SJM</t>
  </si>
  <si>
    <t>The Kraft Heinz Company (NASDAQGS:KHC)</t>
  </si>
  <si>
    <t>NASDAQGS:KHC</t>
  </si>
  <si>
    <t>The Kroger Co. (NYSE:KR)</t>
  </si>
  <si>
    <t>NYSE:KR</t>
  </si>
  <si>
    <t>The Mosaic Company (NYSE:MOS)</t>
  </si>
  <si>
    <t>NYSE:MOS</t>
  </si>
  <si>
    <t>The PNC Financial Services Group, Inc. (NYSE:PNC)</t>
  </si>
  <si>
    <t>NYSE:PNC</t>
  </si>
  <si>
    <t>The Procter &amp; Gamble Company (NYSE:PG)</t>
  </si>
  <si>
    <t>NYSE:PG</t>
  </si>
  <si>
    <t>The Progressive Corporation (NYSE:PGR)</t>
  </si>
  <si>
    <t>NYSE:PGR</t>
  </si>
  <si>
    <t>The Sherwin-Williams Company (NYSE:SHW)</t>
  </si>
  <si>
    <t>NYSE:SHW</t>
  </si>
  <si>
    <t>The Southern Company (NYSE:SO)</t>
  </si>
  <si>
    <t>NYSE:SO</t>
  </si>
  <si>
    <t>The TJX Companies, Inc. (NYSE:TJX)</t>
  </si>
  <si>
    <t>NYSE:TJX</t>
  </si>
  <si>
    <t>The Trade Desk, Inc. (NASDAQGM:TTD)</t>
  </si>
  <si>
    <t>NASDAQGM:TTD</t>
  </si>
  <si>
    <t>The Travelers Companies, Inc. (NYSE:TRV)</t>
  </si>
  <si>
    <t>NYSE:TRV</t>
  </si>
  <si>
    <t>The Walt Disney Company (NYSE:DIS)</t>
  </si>
  <si>
    <t>NYSE:DIS</t>
  </si>
  <si>
    <t>The Williams Companies, Inc. (NYSE:WMB)</t>
  </si>
  <si>
    <t>NYSE:WMB</t>
  </si>
  <si>
    <t>Thermo Fisher Scientific Inc. (NYSE:TMO)</t>
  </si>
  <si>
    <t>NYSE:TMO</t>
  </si>
  <si>
    <t>TKO Group Holdings, Inc. (NYSE:TKO)</t>
  </si>
  <si>
    <t>NYSE:TKO</t>
  </si>
  <si>
    <t>T-Mobile US, Inc. (NASDAQGS:TMUS)</t>
  </si>
  <si>
    <t>NASDAQGS:TMUS</t>
  </si>
  <si>
    <t>Tractor Supply Company (NASDAQGS:TSCO)</t>
  </si>
  <si>
    <t>NASDAQGS:TSCO</t>
  </si>
  <si>
    <t>Trane Technologies plc (NYSE:TT)</t>
  </si>
  <si>
    <t>NYSE:TT</t>
  </si>
  <si>
    <t>TransDigm Group Incorporated (NYSE:TDG)</t>
  </si>
  <si>
    <t>NYSE:TDG</t>
  </si>
  <si>
    <t>Trimble Inc. (NASDAQGS:TRMB)</t>
  </si>
  <si>
    <t>NASDAQGS:TRMB</t>
  </si>
  <si>
    <t>Truist Financial Corporation (NYSE:TFC)</t>
  </si>
  <si>
    <t>NYSE:TFC</t>
  </si>
  <si>
    <t>Tyler Technologies, Inc. (NYSE:TYL)</t>
  </si>
  <si>
    <t>NYSE:TYL</t>
  </si>
  <si>
    <t>Tyson Foods, Inc. (NYSE:TSN)</t>
  </si>
  <si>
    <t>NYSE:TSN</t>
  </si>
  <si>
    <t>U.S. Bancorp (NYSE:USB)</t>
  </si>
  <si>
    <t>NYSE:USB</t>
  </si>
  <si>
    <t>Uber Technologies, Inc. (NYSE:UBER)</t>
  </si>
  <si>
    <t>NYSE:UBER</t>
  </si>
  <si>
    <t>UDR, Inc. (NYSE:UDR)</t>
  </si>
  <si>
    <t>NYSE:UDR</t>
  </si>
  <si>
    <t>Ulta Beauty, Inc. (NASDAQGS:ULTA)</t>
  </si>
  <si>
    <t>NASDAQGS:ULTA</t>
  </si>
  <si>
    <t>Union Pacific Corporation (NYSE:UNP)</t>
  </si>
  <si>
    <t>NYSE:UNP</t>
  </si>
  <si>
    <t>United Airlines Holdings, Inc. (NASDAQGS:UAL)</t>
  </si>
  <si>
    <t>NASDAQGS:UAL</t>
  </si>
  <si>
    <t>United Parcel Service, Inc. (NYSE:UPS)</t>
  </si>
  <si>
    <t>NYSE:UPS</t>
  </si>
  <si>
    <t>United Rentals, Inc. (NYSE:URI)</t>
  </si>
  <si>
    <t>NYSE:URI</t>
  </si>
  <si>
    <t>UnitedHealth Group Incorporated (NYSE:UNH)</t>
  </si>
  <si>
    <t>NYSE:UNH</t>
  </si>
  <si>
    <t>Universal Health Services, Inc. (NYSE:UHS)</t>
  </si>
  <si>
    <t>NYSE:UHS</t>
  </si>
  <si>
    <t>Valero Energy Corporation (NYSE:VLO)</t>
  </si>
  <si>
    <t>NYSE:VLO</t>
  </si>
  <si>
    <t>Ventas, Inc. (NYSE:VTR)</t>
  </si>
  <si>
    <t>NYSE:VTR</t>
  </si>
  <si>
    <t>Veralto Corporation (NYSE:VLTO)</t>
  </si>
  <si>
    <t>NYSE:VLTO</t>
  </si>
  <si>
    <t>VeriSign, Inc. (NASDAQGS:VRSN)</t>
  </si>
  <si>
    <t>NASDAQGS:VRSN</t>
  </si>
  <si>
    <t>Verisk Analytics, Inc. (NASDAQGS:VRSK)</t>
  </si>
  <si>
    <t>NASDAQGS:VRSK</t>
  </si>
  <si>
    <t>Verizon Communications Inc. (NYSE:VZ)</t>
  </si>
  <si>
    <t>NYSE:VZ</t>
  </si>
  <si>
    <t>Vertex Pharmaceuticals Incorporated (NASDAQGS:VRTX)</t>
  </si>
  <si>
    <t>NASDAQGS:VRTX</t>
  </si>
  <si>
    <t>Vertiv Holdings Co (NYSE:VRT)</t>
  </si>
  <si>
    <t>NYSE:VRT</t>
  </si>
  <si>
    <t>Viatris Inc. (NASDAQGS:VTRS)</t>
  </si>
  <si>
    <t>NASDAQGS:VTRS</t>
  </si>
  <si>
    <t>VICI Properties Inc. (NYSE:VICI)</t>
  </si>
  <si>
    <t>NYSE:VICI</t>
  </si>
  <si>
    <t>Visa Inc. (NYSE:V)</t>
  </si>
  <si>
    <t>NYSE:V</t>
  </si>
  <si>
    <t>Vistra Corp. (NYSE:VST)</t>
  </si>
  <si>
    <t>NYSE:VST</t>
  </si>
  <si>
    <t>Vulcan Materials Company (NYSE:VMC)</t>
  </si>
  <si>
    <t>NYSE:VMC</t>
  </si>
  <si>
    <t>W. R. Berkley Corporation (NYSE:WRB)</t>
  </si>
  <si>
    <t>NYSE:WRB</t>
  </si>
  <si>
    <t>W.W. Grainger, Inc. (NYSE:GWW)</t>
  </si>
  <si>
    <t>NYSE:GWW</t>
  </si>
  <si>
    <t>Walmart Inc. (NASDAQGS:WMT)</t>
  </si>
  <si>
    <t>NASDAQGS:WMT</t>
  </si>
  <si>
    <t>Warner Bros. Discovery, Inc. (NASDAQGS:WBD)</t>
  </si>
  <si>
    <t>NASDAQGS:WBD</t>
  </si>
  <si>
    <t>Waste Management, Inc. (NYSE:WM)</t>
  </si>
  <si>
    <t>NYSE:WM</t>
  </si>
  <si>
    <t>Waters Corporation (NYSE:WAT)</t>
  </si>
  <si>
    <t>NYSE:WAT</t>
  </si>
  <si>
    <t>WEC Energy Group, Inc. (NYSE:WEC)</t>
  </si>
  <si>
    <t>NYSE:WEC</t>
  </si>
  <si>
    <t>Wells Fargo &amp; Company (NYSE:WFC)</t>
  </si>
  <si>
    <t>NYSE:WFC</t>
  </si>
  <si>
    <t>Welltower Inc. (NYSE:WELL)</t>
  </si>
  <si>
    <t>NYSE:WELL</t>
  </si>
  <si>
    <t>West Pharmaceutical Services, Inc. (NYSE:WST)</t>
  </si>
  <si>
    <t>NYSE:WST</t>
  </si>
  <si>
    <t>Western Digital Corporation (NASDAQGS:WDC)</t>
  </si>
  <si>
    <t>NASDAQGS:WDC</t>
  </si>
  <si>
    <t>Westinghouse Air Brake Technologies Corporation (NYSE:WAB)</t>
  </si>
  <si>
    <t>NYSE:WAB</t>
  </si>
  <si>
    <t>Weyerhaeuser Company (NYSE:WY)</t>
  </si>
  <si>
    <t>NYSE:WY</t>
  </si>
  <si>
    <t>Williams-Sonoma, Inc. (NYSE:WSM)</t>
  </si>
  <si>
    <t>NYSE:WSM</t>
  </si>
  <si>
    <t>Willis Towers Watson Public Limited Company (NASDAQGS:WTW)</t>
  </si>
  <si>
    <t>NASDAQGS:WTW</t>
  </si>
  <si>
    <t>Workday, Inc. (NASDAQGS:WDAY)</t>
  </si>
  <si>
    <t>NASDAQGS:WDAY</t>
  </si>
  <si>
    <t>Wynn Resorts, Limited (NASDAQGS:WYNN)</t>
  </si>
  <si>
    <t>NASDAQGS:WYNN</t>
  </si>
  <si>
    <t>Xcel Energy Inc. (NASDAQGS:XEL)</t>
  </si>
  <si>
    <t>NASDAQGS:XEL</t>
  </si>
  <si>
    <t>Xylem Inc. (NYSE:XYL)</t>
  </si>
  <si>
    <t>NYSE:XYL</t>
  </si>
  <si>
    <t>Yum! Brands, Inc. (NYSE:YUM)</t>
  </si>
  <si>
    <t>NYSE:YUM</t>
  </si>
  <si>
    <t>Zebra Technologies Corporation (NASDAQGS:ZBRA)</t>
  </si>
  <si>
    <t>NASDAQGS:ZBRA</t>
  </si>
  <si>
    <t>Zimmer Biomet Holdings, Inc. (NYSE:ZBH)</t>
  </si>
  <si>
    <t>NYSE:ZBH</t>
  </si>
  <si>
    <t>Zoetis Inc. (NYSE:ZTS)</t>
  </si>
  <si>
    <t>NYSE:ZTS</t>
  </si>
  <si>
    <t>Companies: New Screen</t>
  </si>
  <si>
    <t xml:space="preserve">Screening Criteria: </t>
  </si>
  <si>
    <t>1                 Index Constituents In S&amp;P 500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</si>
</sst>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U50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9.2857142857143" customWidth="1"/>
    <col min="3" max="3" width="21.2857142857143" customWidth="1"/>
    <col min="4" max="11" width="18.5714285714286" customWidth="1"/>
    <col min="12" max="12" width="21.5714285714286" customWidth="1"/>
    <col min="13" max="14" width="18.5714285714286" customWidth="1"/>
    <col min="15" max="15" width="21.1428571428571" customWidth="1"/>
    <col min="16" max="20" width="18.5714285714286" customWidth="1"/>
    <col min="21" max="21" width="21.1428571428571" customWidth="1"/>
  </cols>
  <sheetData>
    <row r="1" spans="1:21" ht="15"/>
    <row r="2" spans="1:21" ht="15"/>
    <row r="3" spans="1:21" ht="15">
      <c r="A3" s="2">
        <f>SPGTable($B$8:$B$507,$C$5:$U$5,$C$6:$U$6,"Options:Curr=USD,Mag=Standard,ConvMethod=R,FilingVer=Current/Restated")</f>
      </c>
    </row>
    <row r="4" spans="1:21" ht="15">
      <c r="A4" s="3">
        <f>SPGLabel(266637,267969,"","Options:Curr=USD,Mag=Standard,ConvMethod=R,FilingVer=Current/Restated")</f>
      </c>
      <c r="B4" s="3">
        <f>SPGLabel(266637,267961,"","Options:Curr=USD,Mag=Standard,ConvMethod=R,FilingVer=Current/Restated")</f>
      </c>
      <c r="C4" s="3">
        <f>SPGLabel(266637,331277,"","Options:Curr=USD,Mag=Standard,ConvMethod=R,FilingVer=Current/Restated")</f>
      </c>
      <c r="D4" s="4">
        <f>SPGLabel(266637,329299,"FY0","Options:Curr=USD,Mag=Standard,ConvMethod=R,FilingVer=Current/Restated")</f>
      </c>
      <c r="E4" s="4">
        <f>SPGLabel(266637,329299,"FY-5","Options:Curr=USD,Mag=Standard,ConvMethod=R,FilingVer=Current/Restated")</f>
      </c>
      <c r="F4" s="4">
        <f>SPGLabel(266637,329299,"FY-4","Options:Curr=USD,Mag=Standard,ConvMethod=R,FilingVer=Current/Restated")</f>
      </c>
      <c r="G4" s="4">
        <f>SPGLabel(266637,329299,"FY-3","Options:Curr=USD,Mag=Standard,ConvMethod=R,FilingVer=Current/Restated")</f>
      </c>
      <c r="H4" s="4">
        <f>SPGLabel(266637,329299,"FY-2","Options:Curr=USD,Mag=Standard,ConvMethod=R,FilingVer=Current/Restated")</f>
      </c>
      <c r="I4" s="4">
        <f>SPGLabel(266637,329299,"FY-1","Options:Curr=USD,Mag=Standard,ConvMethod=R,FilingVer=Current/Restated")</f>
      </c>
      <c r="J4" s="4">
        <f>SPGLabel(266637,329290,"FY0","Options:Curr=USD,Mag=Standard,ConvMethod=R,FilingVer=Current/Restated")</f>
      </c>
      <c r="K4" s="4">
        <f>SPGLabel(266637,329290,"FY-1","Options:Curr=USD,Mag=Standard,ConvMethod=R,FilingVer=Current/Restated")</f>
      </c>
      <c r="L4" s="4">
        <f>SPGLabel(266637,329290,"FY-2","Options:Curr=USD,Mag=Standard,ConvMethod=R,FilingVer=Current/Restated")</f>
      </c>
      <c r="M4" s="4">
        <f>SPGLabel(266637,329290,"FY-3","Options:Curr=USD,Mag=Standard,ConvMethod=R,FilingVer=Current/Restated")</f>
      </c>
      <c r="N4" s="4">
        <f>SPGLabel(266637,329290,"FY-4","Options:Curr=USD,Mag=Standard,ConvMethod=R,FilingVer=Current/Restated")</f>
      </c>
      <c r="O4" s="4">
        <f>SPGLabel(266637,329290,"FY-5","Options:Curr=USD,Mag=Standard,ConvMethod=R,FilingVer=Current/Restated")</f>
      </c>
      <c r="P4" s="4">
        <f>SPGLabel(266637,329288,"FY0","Options:Curr=USD,Mag=Standard,ConvMethod=R,FilingVer=Current/Restated")</f>
      </c>
      <c r="Q4" s="4">
        <f>SPGLabel(266637,329288,"FY-1","Options:Curr=USD,Mag=Standard,ConvMethod=R,FilingVer=Current/Restated")</f>
      </c>
      <c r="R4" s="4">
        <f>SPGLabel(266637,329288,"FY-2","Options:Curr=USD,Mag=Standard,ConvMethod=R,FilingVer=Current/Restated")</f>
      </c>
      <c r="S4" s="4">
        <f>SPGLabel(266637,329288,"FY-3","Options:Curr=USD,Mag=Standard,ConvMethod=R,FilingVer=Current/Restated")</f>
      </c>
      <c r="T4" s="4">
        <f>SPGLabel(266637,329288,"FY-4","Options:Curr=USD,Mag=Standard,ConvMethod=R,FilingVer=Current/Restated")</f>
      </c>
      <c r="U4" s="4">
        <f>SPGLabel(266637,329288,"FY-5","Options:Curr=USD,Mag=Standard,ConvMethod=R,FilingVer=Current/Restated")</f>
      </c>
    </row>
    <row r="5" spans="1:21" ht="15">
      <c r="A5" s="3" t="s">
        <v>0</v>
      </c>
      <c r="B5" s="3" t="s">
        <v>1</v>
      </c>
      <c r="C5" s="3" t="s">
        <v>2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</row>
    <row r="6" spans="1:21" ht="15">
      <c r="A6" s="3"/>
      <c r="B6" s="3"/>
      <c r="C6" s="3"/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7</v>
      </c>
      <c r="K6" s="4" t="s">
        <v>12</v>
      </c>
      <c r="L6" s="4" t="s">
        <v>11</v>
      </c>
      <c r="M6" s="4" t="s">
        <v>10</v>
      </c>
      <c r="N6" s="4" t="s">
        <v>9</v>
      </c>
      <c r="O6" s="4" t="s">
        <v>8</v>
      </c>
      <c r="P6" s="4" t="s">
        <v>7</v>
      </c>
      <c r="Q6" s="4" t="s">
        <v>12</v>
      </c>
      <c r="R6" s="4" t="s">
        <v>11</v>
      </c>
      <c r="S6" s="4" t="s">
        <v>10</v>
      </c>
      <c r="T6" s="4" t="s">
        <v>9</v>
      </c>
      <c r="U6" s="4" t="s">
        <v>8</v>
      </c>
    </row>
    <row r="7" spans="1:21" ht="15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">
      <c r="A8" s="2" t="s">
        <v>13</v>
      </c>
      <c r="B8" s="5">
        <v>105135</v>
      </c>
      <c r="C8" s="2" t="s">
        <v>14</v>
      </c>
      <c r="D8" s="6">
        <v>13132000</v>
      </c>
      <c r="E8" s="6">
        <v>19775000</v>
      </c>
      <c r="F8" s="6">
        <v>18317000</v>
      </c>
      <c r="G8" s="6">
        <v>16957000</v>
      </c>
      <c r="H8" s="6">
        <v>16751000</v>
      </c>
      <c r="I8" s="6">
        <v>13693000</v>
      </c>
      <c r="J8" s="6">
        <v>6016000</v>
      </c>
      <c r="K8" s="6">
        <v>5405000</v>
      </c>
      <c r="L8" s="6">
        <v>-8768000</v>
      </c>
      <c r="M8" s="6">
        <v>4703000</v>
      </c>
      <c r="N8" s="6">
        <v>9669000</v>
      </c>
      <c r="O8" s="6">
        <v>9067000</v>
      </c>
      <c r="P8" s="6">
        <v>24948000</v>
      </c>
      <c r="Q8" s="6">
        <v>24575000</v>
      </c>
      <c r="R8" s="6">
        <v>24610000</v>
      </c>
      <c r="S8" s="6">
        <v>26161000</v>
      </c>
      <c r="T8" s="6">
        <v>35355000</v>
      </c>
      <c r="U8" s="6">
        <v>32184000</v>
      </c>
    </row>
    <row r="9" spans="1:21" ht="15">
      <c r="A9" s="2" t="s">
        <v>15</v>
      </c>
      <c r="B9" s="5">
        <v>4020605</v>
      </c>
      <c r="C9" s="2" t="s">
        <v>16</v>
      </c>
      <c r="D9" s="6">
        <v>203900</v>
      </c>
      <c r="E9" s="6">
        <v>158700</v>
      </c>
      <c r="F9" s="6">
        <v>230700</v>
      </c>
      <c r="G9" s="6">
        <v>376800</v>
      </c>
      <c r="H9" s="6">
        <v>166800</v>
      </c>
      <c r="I9" s="6">
        <v>228500</v>
      </c>
      <c r="J9" s="6">
        <v>813100</v>
      </c>
      <c r="K9" s="6">
        <v>795600</v>
      </c>
      <c r="L9" s="6">
        <v>835700</v>
      </c>
      <c r="M9" s="6">
        <v>701000</v>
      </c>
      <c r="N9" s="6">
        <v>686800</v>
      </c>
      <c r="O9" s="6">
        <v>521000</v>
      </c>
      <c r="P9" s="6">
        <v>3830200</v>
      </c>
      <c r="Q9" s="6">
        <v>3818100</v>
      </c>
      <c r="R9" s="6">
        <v>3852800</v>
      </c>
      <c r="S9" s="6">
        <v>3753900</v>
      </c>
      <c r="T9" s="6">
        <v>3538900</v>
      </c>
      <c r="U9" s="6">
        <v>2895300</v>
      </c>
    </row>
    <row r="10" spans="1:21" ht="15">
      <c r="A10" s="2" t="s">
        <v>17</v>
      </c>
      <c r="B10" s="5">
        <v>4004092</v>
      </c>
      <c r="C10" s="2" t="s">
        <v>18</v>
      </c>
      <c r="D10" s="6">
        <v>14136000</v>
      </c>
      <c r="E10" s="6">
        <v>19890000</v>
      </c>
      <c r="F10" s="6">
        <v>19251000</v>
      </c>
      <c r="G10" s="6">
        <v>17966000</v>
      </c>
      <c r="H10" s="6">
        <v>15968000</v>
      </c>
      <c r="I10" s="6">
        <v>15326000</v>
      </c>
      <c r="J10" s="6">
        <v>12033000</v>
      </c>
      <c r="K10" s="6">
        <v>10714000</v>
      </c>
      <c r="L10" s="6">
        <v>10463000</v>
      </c>
      <c r="M10" s="6">
        <v>12380000</v>
      </c>
      <c r="N10" s="6">
        <v>12742000</v>
      </c>
      <c r="O10" s="6">
        <v>8789000</v>
      </c>
      <c r="P10" s="6">
        <v>44328000</v>
      </c>
      <c r="Q10" s="6">
        <v>41950000</v>
      </c>
      <c r="R10" s="6">
        <v>40109000</v>
      </c>
      <c r="S10" s="6">
        <v>43653000</v>
      </c>
      <c r="T10" s="6">
        <v>43075000</v>
      </c>
      <c r="U10" s="6">
        <v>34608000</v>
      </c>
    </row>
    <row r="11" spans="1:21" ht="15">
      <c r="A11" s="2" t="s">
        <v>19</v>
      </c>
      <c r="B11" s="5">
        <v>4558282</v>
      </c>
      <c r="C11" s="2" t="s">
        <v>20</v>
      </c>
      <c r="D11" s="6">
        <v>68400000</v>
      </c>
      <c r="E11" s="6">
        <v>87097000</v>
      </c>
      <c r="F11" s="6">
        <v>77597000</v>
      </c>
      <c r="G11" s="6">
        <v>64583000</v>
      </c>
      <c r="H11" s="6">
        <v>60579000</v>
      </c>
      <c r="I11" s="6">
        <v>68250000</v>
      </c>
      <c r="J11" s="6">
        <v>29254000</v>
      </c>
      <c r="K11" s="6">
        <v>25808000</v>
      </c>
      <c r="L11" s="6">
        <v>26912000</v>
      </c>
      <c r="M11" s="6">
        <v>28695000</v>
      </c>
      <c r="N11" s="6">
        <v>28280000</v>
      </c>
      <c r="O11" s="6">
        <v>21148000</v>
      </c>
      <c r="P11" s="6">
        <v>61160000</v>
      </c>
      <c r="Q11" s="6">
        <v>56334000</v>
      </c>
      <c r="R11" s="6">
        <v>54318000</v>
      </c>
      <c r="S11" s="6">
        <v>58054000</v>
      </c>
      <c r="T11" s="6">
        <v>56197000</v>
      </c>
      <c r="U11" s="6">
        <v>45804000</v>
      </c>
    </row>
    <row r="12" spans="1:21" ht="15">
      <c r="A12" s="2" t="s">
        <v>21</v>
      </c>
      <c r="B12" s="5">
        <v>4142760</v>
      </c>
      <c r="C12" s="2" t="s">
        <v>22</v>
      </c>
      <c r="D12" s="6">
        <v>8182866</v>
      </c>
      <c r="E12" s="6">
        <v>3485513</v>
      </c>
      <c r="F12" s="6">
        <v>3506634</v>
      </c>
      <c r="G12" s="6">
        <v>3325756</v>
      </c>
      <c r="H12" s="6">
        <v>3149034</v>
      </c>
      <c r="I12" s="6">
        <v>4120549</v>
      </c>
      <c r="J12" s="6">
        <v>12222532</v>
      </c>
      <c r="K12" s="6">
        <v>11047350</v>
      </c>
      <c r="L12" s="6">
        <v>10934651</v>
      </c>
      <c r="M12" s="6">
        <v>10397826</v>
      </c>
      <c r="N12" s="6">
        <v>9215555</v>
      </c>
      <c r="O12" s="6">
        <v>7986088</v>
      </c>
      <c r="P12" s="6">
        <v>69672977</v>
      </c>
      <c r="Q12" s="6">
        <v>64896464</v>
      </c>
      <c r="R12" s="6">
        <v>64111745</v>
      </c>
      <c r="S12" s="6">
        <v>61594305</v>
      </c>
      <c r="T12" s="6">
        <v>50533389</v>
      </c>
      <c r="U12" s="6">
        <v>44327039</v>
      </c>
    </row>
    <row r="13" spans="1:21" ht="15">
      <c r="A13" s="2" t="s">
        <v>23</v>
      </c>
      <c r="B13" s="5">
        <v>4047847</v>
      </c>
      <c r="C13" s="2" t="s">
        <v>24</v>
      </c>
      <c r="D13" s="6">
        <v>6656000</v>
      </c>
      <c r="E13" s="6">
        <v>4708000</v>
      </c>
      <c r="F13" s="6">
        <v>4673000</v>
      </c>
      <c r="G13" s="6">
        <v>4633000</v>
      </c>
      <c r="H13" s="6">
        <v>4080000</v>
      </c>
      <c r="I13" s="6">
        <v>6056000</v>
      </c>
      <c r="J13" s="6">
        <v>9242000</v>
      </c>
      <c r="K13" s="6">
        <v>8404000</v>
      </c>
      <c r="L13" s="6">
        <v>7268000</v>
      </c>
      <c r="M13" s="6">
        <v>6716000</v>
      </c>
      <c r="N13" s="6">
        <v>6378000</v>
      </c>
      <c r="O13" s="6">
        <v>4808000</v>
      </c>
      <c r="P13" s="6">
        <v>23769000</v>
      </c>
      <c r="Q13" s="6">
        <v>21505000</v>
      </c>
      <c r="R13" s="6">
        <v>19409000</v>
      </c>
      <c r="S13" s="6">
        <v>17606000</v>
      </c>
      <c r="T13" s="6">
        <v>15785000</v>
      </c>
      <c r="U13" s="6">
        <v>12868000</v>
      </c>
    </row>
    <row r="14" spans="1:21" ht="15">
      <c r="A14" s="2" t="s">
        <v>25</v>
      </c>
      <c r="B14" s="5">
        <v>4066743</v>
      </c>
      <c r="C14" s="2" t="s">
        <v>26</v>
      </c>
      <c r="D14" s="6">
        <v>4006000</v>
      </c>
      <c r="E14" s="6">
        <v>531000</v>
      </c>
      <c r="F14" s="6">
        <v>661000</v>
      </c>
      <c r="G14" s="6">
        <v>2863000</v>
      </c>
      <c r="H14" s="6">
        <v>3003000</v>
      </c>
      <c r="I14" s="6">
        <v>2212000</v>
      </c>
      <c r="J14" s="6">
        <v>6745000</v>
      </c>
      <c r="K14" s="6">
        <v>5150000</v>
      </c>
      <c r="L14" s="6">
        <v>3854000</v>
      </c>
      <c r="M14" s="6">
        <v>5438000</v>
      </c>
      <c r="N14" s="6">
        <v>4055000</v>
      </c>
      <c r="O14" s="6">
        <v>1681000</v>
      </c>
      <c r="P14" s="6">
        <v>34639000</v>
      </c>
      <c r="Q14" s="6">
        <v>25785000</v>
      </c>
      <c r="R14" s="6">
        <v>22680000</v>
      </c>
      <c r="S14" s="6">
        <v>23601000</v>
      </c>
      <c r="T14" s="6">
        <v>16434000</v>
      </c>
      <c r="U14" s="6">
        <v>9763000</v>
      </c>
    </row>
    <row r="15" spans="1:21" ht="15">
      <c r="A15" s="2" t="s">
        <v>27</v>
      </c>
      <c r="B15" s="5">
        <v>103316</v>
      </c>
      <c r="C15" s="2" t="s">
        <v>28</v>
      </c>
      <c r="D15" s="6">
        <v>12587000</v>
      </c>
      <c r="E15" s="6">
        <v>8863000</v>
      </c>
      <c r="F15" s="6">
        <v>10172000</v>
      </c>
      <c r="G15" s="6">
        <v>9834000</v>
      </c>
      <c r="H15" s="6">
        <v>9286000</v>
      </c>
      <c r="I15" s="6">
        <v>9864000</v>
      </c>
      <c r="J15" s="6">
        <v>4789000</v>
      </c>
      <c r="K15" s="6">
        <v>6654000</v>
      </c>
      <c r="L15" s="6">
        <v>5496000</v>
      </c>
      <c r="M15" s="6">
        <v>5140000</v>
      </c>
      <c r="N15" s="6">
        <v>5491000</v>
      </c>
      <c r="O15" s="6">
        <v>4442000</v>
      </c>
      <c r="P15" s="6">
        <v>17164000</v>
      </c>
      <c r="Q15" s="6">
        <v>18927000</v>
      </c>
      <c r="R15" s="6">
        <v>18701000</v>
      </c>
      <c r="S15" s="6">
        <v>19140000</v>
      </c>
      <c r="T15" s="6">
        <v>21554000</v>
      </c>
      <c r="U15" s="6">
        <v>22147000</v>
      </c>
    </row>
    <row r="16" spans="1:21" ht="15">
      <c r="A16" s="2" t="s">
        <v>29</v>
      </c>
      <c r="B16" s="5">
        <v>4075849</v>
      </c>
      <c r="C16" s="2" t="s">
        <v>30</v>
      </c>
      <c r="D16" s="6">
        <v>3543000</v>
      </c>
      <c r="E16" s="6">
        <v>2537000</v>
      </c>
      <c r="F16" s="6">
        <v>2911000</v>
      </c>
      <c r="G16" s="6">
        <v>2921000</v>
      </c>
      <c r="H16" s="6">
        <v>2899000</v>
      </c>
      <c r="I16" s="6">
        <v>3574000</v>
      </c>
      <c r="J16" s="6">
        <v>1956000</v>
      </c>
      <c r="K16" s="6">
        <v>1862000</v>
      </c>
      <c r="L16" s="6">
        <v>1717000</v>
      </c>
      <c r="M16" s="6">
        <v>1994000</v>
      </c>
      <c r="N16" s="6">
        <v>1725000</v>
      </c>
      <c r="O16" s="6">
        <v>1353000</v>
      </c>
      <c r="P16" s="6">
        <v>6948000</v>
      </c>
      <c r="Q16" s="6">
        <v>6510000</v>
      </c>
      <c r="R16" s="6">
        <v>6833000</v>
      </c>
      <c r="S16" s="6">
        <v>6848000</v>
      </c>
      <c r="T16" s="6">
        <v>6319000</v>
      </c>
      <c r="U16" s="6">
        <v>5339000</v>
      </c>
    </row>
    <row r="17" spans="1:21" ht="15">
      <c r="A17" s="2" t="s">
        <v>31</v>
      </c>
      <c r="B17" s="5">
        <v>4014726</v>
      </c>
      <c r="C17" s="2" t="s">
        <v>32</v>
      </c>
      <c r="D17" s="6">
        <v>18430300</v>
      </c>
      <c r="E17" s="6">
        <v>8316400</v>
      </c>
      <c r="F17" s="6">
        <v>8251900</v>
      </c>
      <c r="G17" s="6">
        <v>8418100</v>
      </c>
      <c r="H17" s="6">
        <v>11118600</v>
      </c>
      <c r="I17" s="6">
        <v>15047500</v>
      </c>
      <c r="J17" s="6">
        <v>751600</v>
      </c>
      <c r="K17" s="6">
        <v>4298700</v>
      </c>
      <c r="L17" s="6">
        <v>3794200</v>
      </c>
      <c r="M17" s="6">
        <v>3726600</v>
      </c>
      <c r="N17" s="6">
        <v>3672900</v>
      </c>
      <c r="O17" s="6">
        <v>3433700</v>
      </c>
      <c r="P17" s="6">
        <v>12037300</v>
      </c>
      <c r="Q17" s="6">
        <v>12100600</v>
      </c>
      <c r="R17" s="6">
        <v>12600000</v>
      </c>
      <c r="S17" s="6">
        <v>12698600</v>
      </c>
      <c r="T17" s="6">
        <v>10323000</v>
      </c>
      <c r="U17" s="6">
        <v>8856300</v>
      </c>
    </row>
    <row r="18" spans="1:21" ht="15">
      <c r="A18" s="2" t="s">
        <v>33</v>
      </c>
      <c r="B18" s="5">
        <v>4819787</v>
      </c>
      <c r="C18" s="2" t="s">
        <v>34</v>
      </c>
      <c r="D18" s="6">
        <v>2271000</v>
      </c>
      <c r="E18" s="6">
        <v>2329808</v>
      </c>
      <c r="F18" s="6">
        <v>2418000</v>
      </c>
      <c r="G18" s="6">
        <v>2341000</v>
      </c>
      <c r="H18" s="6">
        <v>2304000</v>
      </c>
      <c r="I18" s="6">
        <v>2294000</v>
      </c>
      <c r="J18" s="6">
        <v>2574000</v>
      </c>
      <c r="K18" s="6">
        <v>2584000</v>
      </c>
      <c r="L18" s="6">
        <v>1536000</v>
      </c>
      <c r="M18" s="6">
        <v>1946000</v>
      </c>
      <c r="N18" s="6">
        <v>614000</v>
      </c>
      <c r="O18" s="6">
        <v>-3335500</v>
      </c>
      <c r="P18" s="6">
        <v>12241000</v>
      </c>
      <c r="Q18" s="6">
        <v>11102000</v>
      </c>
      <c r="R18" s="6">
        <v>9917000</v>
      </c>
      <c r="S18" s="6">
        <v>8399000</v>
      </c>
      <c r="T18" s="6">
        <v>5992000</v>
      </c>
      <c r="U18" s="6">
        <v>3378000</v>
      </c>
    </row>
    <row r="19" spans="1:21" ht="15">
      <c r="A19" s="2" t="s">
        <v>35</v>
      </c>
      <c r="B19" s="5">
        <v>4186103</v>
      </c>
      <c r="C19" s="2" t="s">
        <v>36</v>
      </c>
      <c r="D19" s="6">
        <v>5675388</v>
      </c>
      <c r="E19" s="6">
        <v>2776912</v>
      </c>
      <c r="F19" s="6">
        <v>2858937</v>
      </c>
      <c r="G19" s="6">
        <v>3174617</v>
      </c>
      <c r="H19" s="6">
        <v>4535979</v>
      </c>
      <c r="I19" s="6">
        <v>4634605</v>
      </c>
      <c r="J19" s="6">
        <v>1180879</v>
      </c>
      <c r="K19" s="6">
        <v>1116018</v>
      </c>
      <c r="L19" s="6">
        <v>1101026</v>
      </c>
      <c r="M19" s="6">
        <v>1145857</v>
      </c>
      <c r="N19" s="6">
        <v>1193668</v>
      </c>
      <c r="O19" s="6">
        <v>1041637</v>
      </c>
      <c r="P19" s="6">
        <v>4208175</v>
      </c>
      <c r="Q19" s="6">
        <v>3991168</v>
      </c>
      <c r="R19" s="6">
        <v>3811920</v>
      </c>
      <c r="S19" s="6">
        <v>3616654</v>
      </c>
      <c r="T19" s="6">
        <v>3461223</v>
      </c>
      <c r="U19" s="6">
        <v>3198149</v>
      </c>
    </row>
    <row r="20" spans="1:21" ht="15">
      <c r="A20" s="2" t="s">
        <v>37</v>
      </c>
      <c r="B20" s="5">
        <v>4121019</v>
      </c>
      <c r="C20" s="2" t="s">
        <v>38</v>
      </c>
      <c r="D20" s="6">
        <v>3321212</v>
      </c>
      <c r="E20" s="6">
        <v>3711120</v>
      </c>
      <c r="F20" s="6">
        <v>2552839</v>
      </c>
      <c r="G20" s="6">
        <v>3351884</v>
      </c>
      <c r="H20" s="6">
        <v>4311027</v>
      </c>
      <c r="I20" s="6">
        <v>3648305</v>
      </c>
      <c r="J20" s="6">
        <v>737777</v>
      </c>
      <c r="K20" s="6">
        <v>-9112</v>
      </c>
      <c r="L20" s="6">
        <v>656683</v>
      </c>
      <c r="M20" s="6">
        <v>2867504</v>
      </c>
      <c r="N20" s="6">
        <v>875132</v>
      </c>
      <c r="O20" s="6">
        <v>742455</v>
      </c>
      <c r="P20" s="6">
        <v>5142733</v>
      </c>
      <c r="Q20" s="6">
        <v>5377526</v>
      </c>
      <c r="R20" s="6">
        <v>9617203</v>
      </c>
      <c r="S20" s="6">
        <v>7320104</v>
      </c>
      <c r="T20" s="6">
        <v>3327957</v>
      </c>
      <c r="U20" s="6">
        <v>3128909</v>
      </c>
    </row>
    <row r="21" spans="1:21" ht="15">
      <c r="A21" s="2" t="s">
        <v>39</v>
      </c>
      <c r="B21" s="5">
        <v>111908</v>
      </c>
      <c r="C21" s="2" t="s">
        <v>40</v>
      </c>
      <c r="D21" s="6">
        <v>12761098</v>
      </c>
      <c r="E21" s="6">
        <v>7909036</v>
      </c>
      <c r="F21" s="6">
        <v>9226611</v>
      </c>
      <c r="G21" s="6">
        <v>10566462</v>
      </c>
      <c r="H21" s="6">
        <v>11698525</v>
      </c>
      <c r="I21" s="6">
        <v>12751501</v>
      </c>
      <c r="J21" s="6">
        <v>1939510</v>
      </c>
      <c r="K21" s="6">
        <v>1960150</v>
      </c>
      <c r="L21" s="6">
        <v>1734814</v>
      </c>
      <c r="M21" s="6">
        <v>1554830</v>
      </c>
      <c r="N21" s="6">
        <v>1296609</v>
      </c>
      <c r="O21" s="6">
        <v>1172976</v>
      </c>
      <c r="P21" s="6">
        <v>3016925</v>
      </c>
      <c r="Q21" s="6">
        <v>3123453</v>
      </c>
      <c r="R21" s="6">
        <v>2886679</v>
      </c>
      <c r="S21" s="6">
        <v>2589607</v>
      </c>
      <c r="T21" s="6">
        <v>2126405</v>
      </c>
      <c r="U21" s="6">
        <v>1893785</v>
      </c>
    </row>
    <row r="22" spans="1:21" ht="15">
      <c r="A22" s="2" t="s">
        <v>41</v>
      </c>
      <c r="B22" s="5">
        <v>4811737</v>
      </c>
      <c r="C22" s="2" t="s">
        <v>42</v>
      </c>
      <c r="D22" s="6">
        <v>114446</v>
      </c>
      <c r="E22" s="6">
        <v>86180</v>
      </c>
      <c r="F22" s="6">
        <v>125375</v>
      </c>
      <c r="G22" s="6">
        <v>126908</v>
      </c>
      <c r="H22" s="6">
        <v>126619</v>
      </c>
      <c r="I22" s="6">
        <v>119277</v>
      </c>
      <c r="J22" s="6">
        <v>851347</v>
      </c>
      <c r="K22" s="6">
        <v>818854</v>
      </c>
      <c r="L22" s="6">
        <v>799055</v>
      </c>
      <c r="M22" s="6">
        <v>779841</v>
      </c>
      <c r="N22" s="6">
        <v>1085129</v>
      </c>
      <c r="O22" s="6">
        <v>480709</v>
      </c>
      <c r="P22" s="6">
        <v>4034964</v>
      </c>
      <c r="Q22" s="6">
        <v>3999012</v>
      </c>
      <c r="R22" s="6">
        <v>3862260</v>
      </c>
      <c r="S22" s="6">
        <v>3734635</v>
      </c>
      <c r="T22" s="6">
        <v>3952584</v>
      </c>
      <c r="U22" s="6">
        <v>2471941</v>
      </c>
    </row>
    <row r="23" spans="1:21" ht="15">
      <c r="A23" s="2" t="s">
        <v>43</v>
      </c>
      <c r="B23" s="5">
        <v>4987299</v>
      </c>
      <c r="C23" s="2" t="s">
        <v>44</v>
      </c>
      <c r="D23" s="6">
        <v>2150300</v>
      </c>
      <c r="E23" s="6">
        <v>1523500</v>
      </c>
      <c r="F23" s="6">
        <v>1534500</v>
      </c>
      <c r="G23" s="6">
        <v>2195800</v>
      </c>
      <c r="H23" s="6">
        <v>2166000</v>
      </c>
      <c r="I23" s="6">
        <v>2150700</v>
      </c>
      <c r="J23" s="6">
        <v>1006300</v>
      </c>
      <c r="K23" s="6">
        <v>911300</v>
      </c>
      <c r="L23" s="6">
        <v>847500</v>
      </c>
      <c r="M23" s="6">
        <v>711900</v>
      </c>
      <c r="N23" s="6">
        <v>613300</v>
      </c>
      <c r="O23" s="6">
        <v>615100</v>
      </c>
      <c r="P23" s="6">
        <v>4067300</v>
      </c>
      <c r="Q23" s="6">
        <v>3772200</v>
      </c>
      <c r="R23" s="6">
        <v>3650800</v>
      </c>
      <c r="S23" s="6">
        <v>3271900</v>
      </c>
      <c r="T23" s="6">
        <v>2867400</v>
      </c>
      <c r="U23" s="6">
        <v>2719900</v>
      </c>
    </row>
    <row r="24" spans="1:21" ht="15">
      <c r="A24" s="2" t="s">
        <v>45</v>
      </c>
      <c r="B24" s="5">
        <v>4057038</v>
      </c>
      <c r="C24" s="2" t="s">
        <v>46</v>
      </c>
      <c r="D24" s="6">
        <v>12327000</v>
      </c>
      <c r="E24" s="6">
        <v>7181000</v>
      </c>
      <c r="F24" s="6">
        <v>7909000</v>
      </c>
      <c r="G24" s="6">
        <v>8870000</v>
      </c>
      <c r="H24" s="6">
        <v>9704000</v>
      </c>
      <c r="I24" s="6">
        <v>10617000</v>
      </c>
      <c r="J24" s="6">
        <v>1852000</v>
      </c>
      <c r="K24" s="6">
        <v>1702000</v>
      </c>
      <c r="L24" s="6">
        <v>1593000</v>
      </c>
      <c r="M24" s="6">
        <v>1572000</v>
      </c>
      <c r="N24" s="6">
        <v>1443000</v>
      </c>
      <c r="O24" s="6">
        <v>1331000</v>
      </c>
      <c r="P24" s="6">
        <v>4362000</v>
      </c>
      <c r="Q24" s="6">
        <v>3981000</v>
      </c>
      <c r="R24" s="6">
        <v>4027000</v>
      </c>
      <c r="S24" s="6">
        <v>4205000</v>
      </c>
      <c r="T24" s="6">
        <v>3669000</v>
      </c>
      <c r="U24" s="6">
        <v>3416000</v>
      </c>
    </row>
    <row r="25" spans="1:21" ht="15">
      <c r="A25" s="2" t="s">
        <v>47</v>
      </c>
      <c r="B25" s="5">
        <v>4633618</v>
      </c>
      <c r="C25" s="2" t="s">
        <v>48</v>
      </c>
      <c r="D25" s="6">
        <v>66996000</v>
      </c>
      <c r="E25" s="6">
        <v>27872000</v>
      </c>
      <c r="F25" s="6">
        <v>28508000</v>
      </c>
      <c r="G25" s="6">
        <v>29977000</v>
      </c>
      <c r="H25" s="6">
        <v>29787000</v>
      </c>
      <c r="I25" s="6">
        <v>30437000</v>
      </c>
      <c r="J25" s="6">
        <v>150175000</v>
      </c>
      <c r="K25" s="6">
        <v>127701000</v>
      </c>
      <c r="L25" s="6">
        <v>96239000</v>
      </c>
      <c r="M25" s="6">
        <v>88317000</v>
      </c>
      <c r="N25" s="6">
        <v>88987000</v>
      </c>
      <c r="O25" s="6">
        <v>54903000</v>
      </c>
      <c r="P25" s="6">
        <v>402836000</v>
      </c>
      <c r="Q25" s="6">
        <v>350018000</v>
      </c>
      <c r="R25" s="6">
        <v>307394000</v>
      </c>
      <c r="S25" s="6">
        <v>282836000</v>
      </c>
      <c r="T25" s="6">
        <v>257637000</v>
      </c>
      <c r="U25" s="6">
        <v>182527000</v>
      </c>
    </row>
    <row r="26" spans="1:21" ht="15">
      <c r="A26" s="2" t="s">
        <v>49</v>
      </c>
      <c r="B26" s="5">
        <v>4087349</v>
      </c>
      <c r="C26" s="2" t="s">
        <v>50</v>
      </c>
      <c r="D26" s="6">
        <v>25709000</v>
      </c>
      <c r="E26" s="6">
        <v>29471000</v>
      </c>
      <c r="F26" s="6">
        <v>28044000</v>
      </c>
      <c r="G26" s="6">
        <v>26680000</v>
      </c>
      <c r="H26" s="6">
        <v>26233000</v>
      </c>
      <c r="I26" s="6">
        <v>24926000</v>
      </c>
      <c r="J26" s="6">
        <v>15610000</v>
      </c>
      <c r="K26" s="6">
        <v>15822000</v>
      </c>
      <c r="L26" s="6">
        <v>16047000</v>
      </c>
      <c r="M26" s="6">
        <v>16302000</v>
      </c>
      <c r="N26" s="6">
        <v>12163000</v>
      </c>
      <c r="O26" s="6">
        <v>11751000</v>
      </c>
      <c r="P26" s="6">
        <v>20139000</v>
      </c>
      <c r="Q26" s="6">
        <v>20444000</v>
      </c>
      <c r="R26" s="6">
        <v>20502000</v>
      </c>
      <c r="S26" s="6">
        <v>20688000</v>
      </c>
      <c r="T26" s="6">
        <v>21111000</v>
      </c>
      <c r="U26" s="6">
        <v>20841000</v>
      </c>
    </row>
    <row r="27" spans="1:21" ht="15">
      <c r="A27" s="2" t="s">
        <v>51</v>
      </c>
      <c r="B27" s="5">
        <v>3001792</v>
      </c>
      <c r="C27" s="2" t="s">
        <v>52</v>
      </c>
      <c r="D27" s="6">
        <v>178547000</v>
      </c>
      <c r="E27" s="6">
        <v>104740000</v>
      </c>
      <c r="F27" s="6">
        <v>139757000</v>
      </c>
      <c r="G27" s="6">
        <v>169938000</v>
      </c>
      <c r="H27" s="6">
        <v>161574000</v>
      </c>
      <c r="I27" s="6">
        <v>155401000</v>
      </c>
      <c r="J27" s="6">
        <v>145731000</v>
      </c>
      <c r="K27" s="6">
        <v>121388000</v>
      </c>
      <c r="L27" s="6">
        <v>85515000</v>
      </c>
      <c r="M27" s="6">
        <v>55269000</v>
      </c>
      <c r="N27" s="6">
        <v>59312000</v>
      </c>
      <c r="O27" s="6">
        <v>48079000</v>
      </c>
      <c r="P27" s="6">
        <v>716924000</v>
      </c>
      <c r="Q27" s="6">
        <v>637959000</v>
      </c>
      <c r="R27" s="6">
        <v>574785000</v>
      </c>
      <c r="S27" s="6">
        <v>513983000</v>
      </c>
      <c r="T27" s="6">
        <v>469822000</v>
      </c>
      <c r="U27" s="6">
        <v>386064000</v>
      </c>
    </row>
    <row r="28" spans="1:21" ht="15">
      <c r="A28" s="2" t="s">
        <v>53</v>
      </c>
      <c r="B28" s="5">
        <v>4160328</v>
      </c>
      <c r="C28" s="2" t="s">
        <v>54</v>
      </c>
      <c r="D28" s="6">
        <v>15400000</v>
      </c>
      <c r="E28" s="6">
        <v>6784000</v>
      </c>
      <c r="F28" s="6">
        <v>6847000</v>
      </c>
      <c r="G28" s="6">
        <v>7153000</v>
      </c>
      <c r="H28" s="6">
        <v>7406000</v>
      </c>
      <c r="I28" s="6">
        <v>7393000</v>
      </c>
      <c r="J28" s="6">
        <v>2037000</v>
      </c>
      <c r="K28" s="6">
        <v>1869000</v>
      </c>
      <c r="L28" s="6">
        <v>1974000</v>
      </c>
      <c r="M28" s="6">
        <v>2089000</v>
      </c>
      <c r="N28" s="6">
        <v>2000000</v>
      </c>
      <c r="O28" s="6">
        <v>1733000</v>
      </c>
      <c r="P28" s="6">
        <v>15009000</v>
      </c>
      <c r="Q28" s="6">
        <v>13640000</v>
      </c>
      <c r="R28" s="6">
        <v>14694000</v>
      </c>
      <c r="S28" s="6">
        <v>14544000</v>
      </c>
      <c r="T28" s="6">
        <v>12861000</v>
      </c>
      <c r="U28" s="6">
        <v>12468000</v>
      </c>
    </row>
    <row r="29" spans="1:21" ht="15">
      <c r="A29" s="2" t="s">
        <v>55</v>
      </c>
      <c r="B29" s="5">
        <v>4007308</v>
      </c>
      <c r="C29" s="2" t="s">
        <v>56</v>
      </c>
      <c r="D29" s="6">
        <v>19906000</v>
      </c>
      <c r="E29" s="6">
        <v>11576000</v>
      </c>
      <c r="F29" s="6">
        <v>13612000</v>
      </c>
      <c r="G29" s="6">
        <v>15095000</v>
      </c>
      <c r="H29" s="6">
        <v>16506000</v>
      </c>
      <c r="I29" s="6">
        <v>18794000</v>
      </c>
      <c r="J29" s="6">
        <v>3719000</v>
      </c>
      <c r="K29" s="6">
        <v>3260000</v>
      </c>
      <c r="L29" s="6">
        <v>3141000</v>
      </c>
      <c r="M29" s="6">
        <v>2978000</v>
      </c>
      <c r="N29" s="6">
        <v>2621000</v>
      </c>
      <c r="O29" s="6">
        <v>2476000</v>
      </c>
      <c r="P29" s="6">
        <v>8470000</v>
      </c>
      <c r="Q29" s="6">
        <v>7324000</v>
      </c>
      <c r="R29" s="6">
        <v>7213000</v>
      </c>
      <c r="S29" s="6">
        <v>7662000</v>
      </c>
      <c r="T29" s="6">
        <v>6119000</v>
      </c>
      <c r="U29" s="6">
        <v>5540000</v>
      </c>
    </row>
    <row r="30" spans="1:21" ht="15">
      <c r="A30" s="2" t="s">
        <v>57</v>
      </c>
      <c r="B30" s="5">
        <v>4006321</v>
      </c>
      <c r="C30" s="2" t="s">
        <v>58</v>
      </c>
      <c r="D30" s="6">
        <v>49692000</v>
      </c>
      <c r="E30" s="6">
        <v>34720600</v>
      </c>
      <c r="F30" s="6">
        <v>37159600</v>
      </c>
      <c r="G30" s="6">
        <v>41937500</v>
      </c>
      <c r="H30" s="6">
        <v>43921500</v>
      </c>
      <c r="I30" s="6">
        <v>45998000</v>
      </c>
      <c r="J30" s="6">
        <v>8957000</v>
      </c>
      <c r="K30" s="6">
        <v>7825000</v>
      </c>
      <c r="L30" s="6">
        <v>6980000</v>
      </c>
      <c r="M30" s="6">
        <v>7122700</v>
      </c>
      <c r="N30" s="6">
        <v>6343900</v>
      </c>
      <c r="O30" s="6">
        <v>5681700</v>
      </c>
      <c r="P30" s="6">
        <v>21876000</v>
      </c>
      <c r="Q30" s="6">
        <v>19721000</v>
      </c>
      <c r="R30" s="6">
        <v>18982000</v>
      </c>
      <c r="S30" s="6">
        <v>19639500</v>
      </c>
      <c r="T30" s="6">
        <v>16792000</v>
      </c>
      <c r="U30" s="6">
        <v>14918500</v>
      </c>
    </row>
    <row r="31" spans="1:21" ht="15">
      <c r="A31" s="2" t="s">
        <v>59</v>
      </c>
      <c r="B31" s="5">
        <v>102700</v>
      </c>
      <c r="C31" s="2" t="s">
        <v>60</v>
      </c>
      <c r="D31" s="6">
        <v>63909000</v>
      </c>
      <c r="E31" s="6">
        <v>45418000</v>
      </c>
      <c r="F31" s="6">
        <v>40960000</v>
      </c>
      <c r="G31" s="6">
        <v>51605000</v>
      </c>
      <c r="H31" s="6">
        <v>59982000</v>
      </c>
      <c r="I31" s="6">
        <v>55500000</v>
      </c>
      <c r="J31" s="7" t="s">
        <v>61</v>
      </c>
      <c r="K31" s="7" t="s">
        <v>61</v>
      </c>
      <c r="L31" s="7" t="s">
        <v>61</v>
      </c>
      <c r="M31" s="7" t="s">
        <v>61</v>
      </c>
      <c r="N31" s="7" t="s">
        <v>61</v>
      </c>
      <c r="O31" s="7" t="s">
        <v>61</v>
      </c>
      <c r="P31" s="6">
        <v>66973000</v>
      </c>
      <c r="Q31" s="6">
        <v>60764000</v>
      </c>
      <c r="R31" s="6">
        <v>55592000</v>
      </c>
      <c r="S31" s="6">
        <v>50680000</v>
      </c>
      <c r="T31" s="6">
        <v>43799000</v>
      </c>
      <c r="U31" s="6">
        <v>31357000</v>
      </c>
    </row>
    <row r="32" spans="1:21" ht="15">
      <c r="A32" s="2" t="s">
        <v>62</v>
      </c>
      <c r="B32" s="5">
        <v>103330</v>
      </c>
      <c r="C32" s="2" t="s">
        <v>63</v>
      </c>
      <c r="D32" s="6">
        <v>10047000</v>
      </c>
      <c r="E32" s="6">
        <v>38534000</v>
      </c>
      <c r="F32" s="6">
        <v>31363000</v>
      </c>
      <c r="G32" s="6">
        <v>28279000</v>
      </c>
      <c r="H32" s="6">
        <v>11500000</v>
      </c>
      <c r="I32" s="6">
        <v>9790000</v>
      </c>
      <c r="J32" s="6">
        <v>7920000</v>
      </c>
      <c r="K32" s="6">
        <v>7825000</v>
      </c>
      <c r="L32" s="6">
        <v>7443000</v>
      </c>
      <c r="M32" s="6">
        <v>8859000</v>
      </c>
      <c r="N32" s="6">
        <v>16958000</v>
      </c>
      <c r="O32" s="6">
        <v>6857000</v>
      </c>
      <c r="P32" s="6">
        <v>26611000</v>
      </c>
      <c r="Q32" s="6">
        <v>27027000</v>
      </c>
      <c r="R32" s="6">
        <v>27834000</v>
      </c>
      <c r="S32" s="6">
        <v>29721000</v>
      </c>
      <c r="T32" s="6">
        <v>51808000</v>
      </c>
      <c r="U32" s="6">
        <v>43337000</v>
      </c>
    </row>
    <row r="33" spans="1:21" ht="15">
      <c r="A33" s="2" t="s">
        <v>64</v>
      </c>
      <c r="B33" s="5">
        <v>4290489</v>
      </c>
      <c r="C33" s="2" t="s">
        <v>65</v>
      </c>
      <c r="D33" s="6">
        <v>44963900</v>
      </c>
      <c r="E33" s="6">
        <v>36711800</v>
      </c>
      <c r="F33" s="6">
        <v>52008600</v>
      </c>
      <c r="G33" s="6">
        <v>47051000</v>
      </c>
      <c r="H33" s="6">
        <v>46307000</v>
      </c>
      <c r="I33" s="6">
        <v>43954100</v>
      </c>
      <c r="J33" s="6">
        <v>6907700</v>
      </c>
      <c r="K33" s="6">
        <v>6608800</v>
      </c>
      <c r="L33" s="6">
        <v>6414200</v>
      </c>
      <c r="M33" s="6">
        <v>6075600</v>
      </c>
      <c r="N33" s="6">
        <v>5888400</v>
      </c>
      <c r="O33" s="6">
        <v>5048500</v>
      </c>
      <c r="P33" s="6">
        <v>10644600</v>
      </c>
      <c r="Q33" s="6">
        <v>10127200</v>
      </c>
      <c r="R33" s="6">
        <v>10012200</v>
      </c>
      <c r="S33" s="6">
        <v>9645400</v>
      </c>
      <c r="T33" s="6">
        <v>9356900</v>
      </c>
      <c r="U33" s="6">
        <v>8041500</v>
      </c>
    </row>
    <row r="34" spans="1:21" ht="15">
      <c r="A34" s="2" t="s">
        <v>66</v>
      </c>
      <c r="B34" s="5">
        <v>4004387</v>
      </c>
      <c r="C34" s="2" t="s">
        <v>67</v>
      </c>
      <c r="D34" s="6">
        <v>15929000</v>
      </c>
      <c r="E34" s="6">
        <v>11025000</v>
      </c>
      <c r="F34" s="6">
        <v>11065000</v>
      </c>
      <c r="G34" s="6">
        <v>12455000</v>
      </c>
      <c r="H34" s="6">
        <v>12445000</v>
      </c>
      <c r="I34" s="6">
        <v>14124000</v>
      </c>
      <c r="J34" s="6">
        <v>2789000</v>
      </c>
      <c r="K34" s="6">
        <v>2534000</v>
      </c>
      <c r="L34" s="6">
        <v>2240000</v>
      </c>
      <c r="M34" s="6">
        <v>1999000</v>
      </c>
      <c r="N34" s="6">
        <v>1910000</v>
      </c>
      <c r="O34" s="6">
        <v>1901000</v>
      </c>
      <c r="P34" s="6">
        <v>5140000</v>
      </c>
      <c r="Q34" s="6">
        <v>4684000</v>
      </c>
      <c r="R34" s="6">
        <v>4234000</v>
      </c>
      <c r="S34" s="6">
        <v>3792000</v>
      </c>
      <c r="T34" s="6">
        <v>3930000</v>
      </c>
      <c r="U34" s="6">
        <v>3777000</v>
      </c>
    </row>
    <row r="35" spans="1:21" ht="15">
      <c r="A35" s="2" t="s">
        <v>68</v>
      </c>
      <c r="B35" s="5">
        <v>113901</v>
      </c>
      <c r="C35" s="2" t="s">
        <v>69</v>
      </c>
      <c r="D35" s="6">
        <v>3772000</v>
      </c>
      <c r="E35" s="6">
        <v>4019000</v>
      </c>
      <c r="F35" s="6">
        <v>3841000</v>
      </c>
      <c r="G35" s="6">
        <v>3694000</v>
      </c>
      <c r="H35" s="6">
        <v>4230000</v>
      </c>
      <c r="I35" s="6">
        <v>3680000</v>
      </c>
      <c r="J35" s="7" t="s">
        <v>61</v>
      </c>
      <c r="K35" s="7" t="s">
        <v>61</v>
      </c>
      <c r="L35" s="7" t="s">
        <v>61</v>
      </c>
      <c r="M35" s="6">
        <v>5330000</v>
      </c>
      <c r="N35" s="6">
        <v>4953000</v>
      </c>
      <c r="O35" s="6">
        <v>2907000</v>
      </c>
      <c r="P35" s="6">
        <v>18911000</v>
      </c>
      <c r="Q35" s="6">
        <v>17926000</v>
      </c>
      <c r="R35" s="6">
        <v>16096000</v>
      </c>
      <c r="S35" s="6">
        <v>14334000</v>
      </c>
      <c r="T35" s="6">
        <v>13389000</v>
      </c>
      <c r="U35" s="6">
        <v>11958000</v>
      </c>
    </row>
    <row r="36" spans="1:21" ht="15">
      <c r="A36" s="2" t="s">
        <v>70</v>
      </c>
      <c r="B36" s="5">
        <v>4107063</v>
      </c>
      <c r="C36" s="2" t="s">
        <v>71</v>
      </c>
      <c r="D36" s="6">
        <v>2571508</v>
      </c>
      <c r="E36" s="6">
        <v>2586846</v>
      </c>
      <c r="F36" s="6">
        <v>2720695</v>
      </c>
      <c r="G36" s="6">
        <v>2560600</v>
      </c>
      <c r="H36" s="6">
        <v>3556838</v>
      </c>
      <c r="I36" s="6">
        <v>2324474</v>
      </c>
      <c r="J36" s="6">
        <v>2358421</v>
      </c>
      <c r="K36" s="6">
        <v>2191689</v>
      </c>
      <c r="L36" s="6">
        <v>2045095</v>
      </c>
      <c r="M36" s="6">
        <v>1820119</v>
      </c>
      <c r="N36" s="6">
        <v>1600782</v>
      </c>
      <c r="O36" s="6">
        <v>1283159</v>
      </c>
      <c r="P36" s="6">
        <v>7401116</v>
      </c>
      <c r="Q36" s="6">
        <v>6941180</v>
      </c>
      <c r="R36" s="6">
        <v>6596950</v>
      </c>
      <c r="S36" s="6">
        <v>6150530</v>
      </c>
      <c r="T36" s="6">
        <v>5546514</v>
      </c>
      <c r="U36" s="6">
        <v>4540029</v>
      </c>
    </row>
    <row r="37" spans="1:21" ht="15">
      <c r="A37" s="2" t="s">
        <v>72</v>
      </c>
      <c r="B37" s="5">
        <v>4092820</v>
      </c>
      <c r="C37" s="2" t="s">
        <v>73</v>
      </c>
      <c r="D37" s="6">
        <v>55435000</v>
      </c>
      <c r="E37" s="6">
        <v>33445000</v>
      </c>
      <c r="F37" s="6">
        <v>33979000</v>
      </c>
      <c r="G37" s="6">
        <v>39640000</v>
      </c>
      <c r="H37" s="6">
        <v>65423000</v>
      </c>
      <c r="I37" s="6">
        <v>60879000</v>
      </c>
      <c r="J37" s="6">
        <v>16617000</v>
      </c>
      <c r="K37" s="6">
        <v>15157000</v>
      </c>
      <c r="L37" s="6">
        <v>13755000</v>
      </c>
      <c r="M37" s="6">
        <v>13358000</v>
      </c>
      <c r="N37" s="6">
        <v>12549000</v>
      </c>
      <c r="O37" s="6">
        <v>12929000</v>
      </c>
      <c r="P37" s="6">
        <v>36751000</v>
      </c>
      <c r="Q37" s="6">
        <v>33424000</v>
      </c>
      <c r="R37" s="6">
        <v>28190000</v>
      </c>
      <c r="S37" s="6">
        <v>26323000</v>
      </c>
      <c r="T37" s="6">
        <v>25979000</v>
      </c>
      <c r="U37" s="6">
        <v>25424000</v>
      </c>
    </row>
    <row r="38" spans="1:21" ht="15">
      <c r="A38" s="2" t="s">
        <v>74</v>
      </c>
      <c r="B38" s="5">
        <v>4122605</v>
      </c>
      <c r="C38" s="2" t="s">
        <v>75</v>
      </c>
      <c r="D38" s="6">
        <v>16067700</v>
      </c>
      <c r="E38" s="6">
        <v>4095600</v>
      </c>
      <c r="F38" s="6">
        <v>5050900</v>
      </c>
      <c r="G38" s="6">
        <v>4871400</v>
      </c>
      <c r="H38" s="6">
        <v>4641000</v>
      </c>
      <c r="I38" s="6">
        <v>7280200</v>
      </c>
      <c r="J38" s="6">
        <v>6970800</v>
      </c>
      <c r="K38" s="6">
        <v>3875100</v>
      </c>
      <c r="L38" s="6">
        <v>3000200</v>
      </c>
      <c r="M38" s="6">
        <v>2998600</v>
      </c>
      <c r="N38" s="6">
        <v>2564100</v>
      </c>
      <c r="O38" s="6">
        <v>1951200</v>
      </c>
      <c r="P38" s="6">
        <v>23094700</v>
      </c>
      <c r="Q38" s="6">
        <v>15222700</v>
      </c>
      <c r="R38" s="6">
        <v>12554700</v>
      </c>
      <c r="S38" s="6">
        <v>12623000</v>
      </c>
      <c r="T38" s="6">
        <v>10876300</v>
      </c>
      <c r="U38" s="6">
        <v>8598900</v>
      </c>
    </row>
    <row r="39" spans="1:21" ht="15">
      <c r="A39" s="2" t="s">
        <v>76</v>
      </c>
      <c r="B39" s="5">
        <v>4113211</v>
      </c>
      <c r="C39" s="2" t="s">
        <v>77</v>
      </c>
      <c r="D39" s="6">
        <v>8961064</v>
      </c>
      <c r="E39" s="6">
        <v>5688103</v>
      </c>
      <c r="F39" s="6">
        <v>7118233</v>
      </c>
      <c r="G39" s="6">
        <v>6939532</v>
      </c>
      <c r="H39" s="6">
        <v>7455540</v>
      </c>
      <c r="I39" s="6">
        <v>8005242</v>
      </c>
      <c r="J39" s="6">
        <v>4994371</v>
      </c>
      <c r="K39" s="6">
        <v>4167704</v>
      </c>
      <c r="L39" s="6">
        <v>6272047</v>
      </c>
      <c r="M39" s="6">
        <v>6118232</v>
      </c>
      <c r="N39" s="6">
        <v>3179095</v>
      </c>
      <c r="O39" s="6">
        <v>2360503</v>
      </c>
      <c r="P39" s="6">
        <v>11019707</v>
      </c>
      <c r="Q39" s="6">
        <v>9427157</v>
      </c>
      <c r="R39" s="6">
        <v>12305539</v>
      </c>
      <c r="S39" s="6">
        <v>12013953</v>
      </c>
      <c r="T39" s="6">
        <v>7318286</v>
      </c>
      <c r="U39" s="6">
        <v>5603056</v>
      </c>
    </row>
    <row r="40" spans="1:21" ht="15">
      <c r="A40" s="2" t="s">
        <v>78</v>
      </c>
      <c r="B40" s="5">
        <v>103317</v>
      </c>
      <c r="C40" s="2" t="s">
        <v>79</v>
      </c>
      <c r="D40" s="6">
        <v>16071000</v>
      </c>
      <c r="E40" s="6">
        <v>8925000</v>
      </c>
      <c r="F40" s="6">
        <v>10423000</v>
      </c>
      <c r="G40" s="6">
        <v>11677000</v>
      </c>
      <c r="H40" s="6">
        <v>12032000</v>
      </c>
      <c r="I40" s="6">
        <v>17892000</v>
      </c>
      <c r="J40" s="6">
        <v>5664000</v>
      </c>
      <c r="K40" s="6">
        <v>5083000</v>
      </c>
      <c r="L40" s="6">
        <v>4078000</v>
      </c>
      <c r="M40" s="6">
        <v>3812000</v>
      </c>
      <c r="N40" s="6">
        <v>2437000</v>
      </c>
      <c r="O40" s="6">
        <v>3207000</v>
      </c>
      <c r="P40" s="6">
        <v>17181000</v>
      </c>
      <c r="Q40" s="6">
        <v>15698000</v>
      </c>
      <c r="R40" s="6">
        <v>13376000</v>
      </c>
      <c r="S40" s="6">
        <v>12479000</v>
      </c>
      <c r="T40" s="6">
        <v>12193000</v>
      </c>
      <c r="U40" s="6">
        <v>11066000</v>
      </c>
    </row>
    <row r="41" spans="1:21" ht="15">
      <c r="A41" s="2" t="s">
        <v>80</v>
      </c>
      <c r="B41" s="5">
        <v>4010203</v>
      </c>
      <c r="C41" s="2" t="s">
        <v>81</v>
      </c>
      <c r="D41" s="6">
        <v>4810000</v>
      </c>
      <c r="E41" s="6">
        <v>8888000</v>
      </c>
      <c r="F41" s="6">
        <v>7609000</v>
      </c>
      <c r="G41" s="6">
        <v>5620000</v>
      </c>
      <c r="H41" s="6">
        <v>5304000</v>
      </c>
      <c r="I41" s="6">
        <v>6162000</v>
      </c>
      <c r="J41" s="6">
        <v>5146000</v>
      </c>
      <c r="K41" s="6">
        <v>5616000</v>
      </c>
      <c r="L41" s="6">
        <v>5103000</v>
      </c>
      <c r="M41" s="6">
        <v>6606000</v>
      </c>
      <c r="N41" s="6">
        <v>4388000</v>
      </c>
      <c r="O41" s="6">
        <v>1943000</v>
      </c>
      <c r="P41" s="6">
        <v>8685000</v>
      </c>
      <c r="Q41" s="6">
        <v>9463000</v>
      </c>
      <c r="R41" s="6">
        <v>8093000</v>
      </c>
      <c r="S41" s="6">
        <v>11032000</v>
      </c>
      <c r="T41" s="6">
        <v>8025000</v>
      </c>
      <c r="U41" s="6">
        <v>4393000</v>
      </c>
    </row>
    <row r="42" spans="1:21" ht="15">
      <c r="A42" s="2" t="s">
        <v>82</v>
      </c>
      <c r="B42" s="5">
        <v>4204256</v>
      </c>
      <c r="C42" s="2" t="s">
        <v>83</v>
      </c>
      <c r="D42" s="6">
        <v>42289000</v>
      </c>
      <c r="E42" s="6">
        <v>14620722</v>
      </c>
      <c r="F42" s="6">
        <v>13690000</v>
      </c>
      <c r="G42" s="6">
        <v>20063000</v>
      </c>
      <c r="H42" s="6">
        <v>24113000</v>
      </c>
      <c r="I42" s="6">
        <v>32300000</v>
      </c>
      <c r="J42" s="7" t="s">
        <v>61</v>
      </c>
      <c r="K42" s="7" t="s">
        <v>61</v>
      </c>
      <c r="L42" s="7" t="s">
        <v>61</v>
      </c>
      <c r="M42" s="7" t="s">
        <v>61</v>
      </c>
      <c r="N42" s="7" t="s">
        <v>61</v>
      </c>
      <c r="O42" s="7" t="s">
        <v>61</v>
      </c>
      <c r="P42" s="6">
        <v>31793000</v>
      </c>
      <c r="Q42" s="6">
        <v>25888000</v>
      </c>
      <c r="R42" s="6">
        <v>31944000</v>
      </c>
      <c r="S42" s="6">
        <v>10844000</v>
      </c>
      <c r="T42" s="6">
        <v>5813000</v>
      </c>
      <c r="U42" s="6">
        <v>2221000</v>
      </c>
    </row>
    <row r="43" spans="1:21" ht="15">
      <c r="A43" s="2" t="s">
        <v>84</v>
      </c>
      <c r="B43" s="5">
        <v>4004205</v>
      </c>
      <c r="C43" s="2" t="s">
        <v>85</v>
      </c>
      <c r="D43" s="6">
        <v>112377000</v>
      </c>
      <c r="E43" s="6">
        <v>122278000</v>
      </c>
      <c r="F43" s="6">
        <v>136522000</v>
      </c>
      <c r="G43" s="6">
        <v>132480000</v>
      </c>
      <c r="H43" s="6">
        <v>123930000</v>
      </c>
      <c r="I43" s="6">
        <v>119059000</v>
      </c>
      <c r="J43" s="6">
        <v>144748000</v>
      </c>
      <c r="K43" s="6">
        <v>134661000</v>
      </c>
      <c r="L43" s="6">
        <v>125820000</v>
      </c>
      <c r="M43" s="6">
        <v>130541000</v>
      </c>
      <c r="N43" s="6">
        <v>120233000</v>
      </c>
      <c r="O43" s="6">
        <v>77344000</v>
      </c>
      <c r="P43" s="6">
        <v>416161000</v>
      </c>
      <c r="Q43" s="6">
        <v>391035000</v>
      </c>
      <c r="R43" s="6">
        <v>383285000</v>
      </c>
      <c r="S43" s="6">
        <v>394328000</v>
      </c>
      <c r="T43" s="6">
        <v>365817000</v>
      </c>
      <c r="U43" s="6">
        <v>274515000</v>
      </c>
    </row>
    <row r="44" spans="1:21" ht="15">
      <c r="A44" s="2" t="s">
        <v>86</v>
      </c>
      <c r="B44" s="5">
        <v>4073928</v>
      </c>
      <c r="C44" s="2" t="s">
        <v>87</v>
      </c>
      <c r="D44" s="6">
        <v>7050000</v>
      </c>
      <c r="E44" s="6">
        <v>5707000</v>
      </c>
      <c r="F44" s="6">
        <v>5753000</v>
      </c>
      <c r="G44" s="6">
        <v>5829000</v>
      </c>
      <c r="H44" s="6">
        <v>5999000</v>
      </c>
      <c r="I44" s="6">
        <v>6605000</v>
      </c>
      <c r="J44" s="6">
        <v>8946000</v>
      </c>
      <c r="K44" s="6">
        <v>8259000</v>
      </c>
      <c r="L44" s="6">
        <v>8169000</v>
      </c>
      <c r="M44" s="6">
        <v>8228000</v>
      </c>
      <c r="N44" s="6">
        <v>7594000</v>
      </c>
      <c r="O44" s="6">
        <v>4844000</v>
      </c>
      <c r="P44" s="6">
        <v>28368000</v>
      </c>
      <c r="Q44" s="6">
        <v>27176000</v>
      </c>
      <c r="R44" s="6">
        <v>26517000</v>
      </c>
      <c r="S44" s="6">
        <v>25785000</v>
      </c>
      <c r="T44" s="6">
        <v>23063000</v>
      </c>
      <c r="U44" s="6">
        <v>17202000</v>
      </c>
    </row>
    <row r="45" spans="1:21" ht="15">
      <c r="A45" s="2" t="s">
        <v>88</v>
      </c>
      <c r="B45" s="5">
        <v>5256437</v>
      </c>
      <c r="C45" s="2" t="s">
        <v>89</v>
      </c>
      <c r="D45" s="6">
        <v>3667394</v>
      </c>
      <c r="E45" s="6">
        <v>1707422</v>
      </c>
      <c r="F45" s="6">
        <v>3363718</v>
      </c>
      <c r="G45" s="6">
        <v>3356349</v>
      </c>
      <c r="H45" s="6">
        <v>3177416</v>
      </c>
      <c r="I45" s="6">
        <v>3554610</v>
      </c>
      <c r="J45" s="6">
        <v>4275018</v>
      </c>
      <c r="K45" s="6">
        <v>2033104</v>
      </c>
      <c r="L45" s="6">
        <v>890150</v>
      </c>
      <c r="M45" s="6">
        <v>524422</v>
      </c>
      <c r="N45" s="6">
        <v>597736</v>
      </c>
      <c r="O45" s="6">
        <v>283872</v>
      </c>
      <c r="P45" s="6">
        <v>5480717</v>
      </c>
      <c r="Q45" s="6">
        <v>3224058</v>
      </c>
      <c r="R45" s="6">
        <v>1841762</v>
      </c>
      <c r="S45" s="6">
        <v>2817058</v>
      </c>
      <c r="T45" s="6">
        <v>2793104</v>
      </c>
      <c r="U45" s="6">
        <v>1451086</v>
      </c>
    </row>
    <row r="46" spans="1:21" ht="15">
      <c r="A46" s="2" t="s">
        <v>90</v>
      </c>
      <c r="B46" s="5">
        <v>4306801</v>
      </c>
      <c r="C46" s="2" t="s">
        <v>91</v>
      </c>
      <c r="D46" s="6">
        <v>8094000</v>
      </c>
      <c r="E46" s="6">
        <v>4501000</v>
      </c>
      <c r="F46" s="6">
        <v>4463000</v>
      </c>
      <c r="G46" s="6">
        <v>6961000</v>
      </c>
      <c r="H46" s="6">
        <v>6787000</v>
      </c>
      <c r="I46" s="6">
        <v>8888000</v>
      </c>
      <c r="J46" s="6">
        <v>3190000</v>
      </c>
      <c r="K46" s="6">
        <v>3053000</v>
      </c>
      <c r="L46" s="6">
        <v>2734000</v>
      </c>
      <c r="M46" s="6">
        <v>2116000</v>
      </c>
      <c r="N46" s="6">
        <v>1980000</v>
      </c>
      <c r="O46" s="6">
        <v>1564000</v>
      </c>
      <c r="P46" s="6">
        <v>20398000</v>
      </c>
      <c r="Q46" s="6">
        <v>19713000</v>
      </c>
      <c r="R46" s="6">
        <v>20051000</v>
      </c>
      <c r="S46" s="6">
        <v>17489000</v>
      </c>
      <c r="T46" s="6">
        <v>15618000</v>
      </c>
      <c r="U46" s="6">
        <v>13066000</v>
      </c>
    </row>
    <row r="47" spans="1:21" ht="15">
      <c r="A47" s="2" t="s">
        <v>92</v>
      </c>
      <c r="B47" s="5">
        <v>103577</v>
      </c>
      <c r="C47" s="2" t="s">
        <v>93</v>
      </c>
      <c r="D47" s="6">
        <v>2885000</v>
      </c>
      <c r="E47" s="6">
        <v>3453904</v>
      </c>
      <c r="F47" s="6">
        <v>2851105</v>
      </c>
      <c r="G47" s="6">
        <v>2877000</v>
      </c>
      <c r="H47" s="6">
        <v>2882000</v>
      </c>
      <c r="I47" s="6">
        <v>2891000</v>
      </c>
      <c r="J47" s="6">
        <v>5523000</v>
      </c>
      <c r="K47" s="6">
        <v>4856000</v>
      </c>
      <c r="L47" s="6">
        <v>3679000</v>
      </c>
      <c r="M47" s="6">
        <v>1622000</v>
      </c>
      <c r="N47" s="6">
        <v>2283000</v>
      </c>
      <c r="O47" s="6">
        <v>1870400</v>
      </c>
      <c r="P47" s="6">
        <v>19929000</v>
      </c>
      <c r="Q47" s="6">
        <v>17440000</v>
      </c>
      <c r="R47" s="6">
        <v>13634000</v>
      </c>
      <c r="S47" s="6">
        <v>9613000</v>
      </c>
      <c r="T47" s="6">
        <v>9248000</v>
      </c>
      <c r="U47" s="6">
        <v>8508509</v>
      </c>
    </row>
    <row r="48" spans="1:21" ht="15">
      <c r="A48" s="2" t="s">
        <v>94</v>
      </c>
      <c r="B48" s="5">
        <v>4044801</v>
      </c>
      <c r="C48" s="2" t="s">
        <v>95</v>
      </c>
      <c r="D48" s="6">
        <v>9758000</v>
      </c>
      <c r="E48" s="6">
        <v>11068000</v>
      </c>
      <c r="F48" s="6">
        <v>10581000</v>
      </c>
      <c r="G48" s="6">
        <v>10288000</v>
      </c>
      <c r="H48" s="6">
        <v>9596000</v>
      </c>
      <c r="I48" s="6">
        <v>11538000</v>
      </c>
      <c r="J48" s="6">
        <v>2521000</v>
      </c>
      <c r="K48" s="6">
        <v>3147000</v>
      </c>
      <c r="L48" s="6">
        <v>5068000</v>
      </c>
      <c r="M48" s="6">
        <v>5130000</v>
      </c>
      <c r="N48" s="6">
        <v>3840000</v>
      </c>
      <c r="O48" s="6">
        <v>2737000</v>
      </c>
      <c r="P48" s="6">
        <v>80269000</v>
      </c>
      <c r="Q48" s="6">
        <v>85530000</v>
      </c>
      <c r="R48" s="6">
        <v>93935000</v>
      </c>
      <c r="S48" s="6">
        <v>101556000</v>
      </c>
      <c r="T48" s="6">
        <v>85249000</v>
      </c>
      <c r="U48" s="6">
        <v>64355000</v>
      </c>
    </row>
    <row r="49" spans="1:21" ht="15">
      <c r="A49" s="2" t="s">
        <v>96</v>
      </c>
      <c r="B49" s="5">
        <v>4438507</v>
      </c>
      <c r="C49" s="2" t="s">
        <v>97</v>
      </c>
      <c r="D49" s="6">
        <v>14222266</v>
      </c>
      <c r="E49" s="6">
        <v>10904492</v>
      </c>
      <c r="F49" s="6">
        <v>12495152</v>
      </c>
      <c r="G49" s="6">
        <v>13334236</v>
      </c>
      <c r="H49" s="6">
        <v>15755950</v>
      </c>
      <c r="I49" s="6">
        <v>13147967</v>
      </c>
      <c r="J49" s="6">
        <v>1241067</v>
      </c>
      <c r="K49" s="6">
        <v>1142818</v>
      </c>
      <c r="L49" s="6">
        <v>1073072</v>
      </c>
      <c r="M49" s="6">
        <v>853951</v>
      </c>
      <c r="N49" s="6">
        <v>982194</v>
      </c>
      <c r="O49" s="6">
        <v>354808</v>
      </c>
      <c r="P49" s="6">
        <v>5601482</v>
      </c>
      <c r="Q49" s="6">
        <v>3884781</v>
      </c>
      <c r="R49" s="6">
        <v>3631884</v>
      </c>
      <c r="S49" s="6">
        <v>3055443</v>
      </c>
      <c r="T49" s="6">
        <v>4212091</v>
      </c>
      <c r="U49" s="6">
        <v>1764046</v>
      </c>
    </row>
    <row r="50" spans="1:21" ht="15">
      <c r="A50" s="2" t="s">
        <v>98</v>
      </c>
      <c r="B50" s="5">
        <v>4970981</v>
      </c>
      <c r="C50" s="2" t="s">
        <v>99</v>
      </c>
      <c r="D50" s="6">
        <v>90500</v>
      </c>
      <c r="E50" s="6">
        <v>90170</v>
      </c>
      <c r="F50" s="6">
        <v>76825</v>
      </c>
      <c r="G50" s="6">
        <v>63842</v>
      </c>
      <c r="H50" s="6">
        <v>65519</v>
      </c>
      <c r="I50" s="6">
        <v>0</v>
      </c>
      <c r="J50" s="6">
        <v>3928700</v>
      </c>
      <c r="K50" s="6">
        <v>3006600</v>
      </c>
      <c r="L50" s="6">
        <v>2327900</v>
      </c>
      <c r="M50" s="6">
        <v>1589806</v>
      </c>
      <c r="N50" s="6">
        <v>975073</v>
      </c>
      <c r="O50" s="6">
        <v>739042</v>
      </c>
      <c r="P50" s="6">
        <v>9005700</v>
      </c>
      <c r="Q50" s="6">
        <v>7003100</v>
      </c>
      <c r="R50" s="6">
        <v>5860200</v>
      </c>
      <c r="S50" s="6">
        <v>4381310</v>
      </c>
      <c r="T50" s="6">
        <v>2948037</v>
      </c>
      <c r="U50" s="6">
        <v>2317512</v>
      </c>
    </row>
    <row r="51" spans="1:21" ht="15">
      <c r="A51" s="2" t="s">
        <v>100</v>
      </c>
      <c r="B51" s="5">
        <v>103437</v>
      </c>
      <c r="C51" s="2" t="s">
        <v>101</v>
      </c>
      <c r="D51" s="6">
        <v>13624000</v>
      </c>
      <c r="E51" s="6">
        <v>4930900</v>
      </c>
      <c r="F51" s="6">
        <v>6605700</v>
      </c>
      <c r="G51" s="6">
        <v>6415100</v>
      </c>
      <c r="H51" s="6">
        <v>8322900</v>
      </c>
      <c r="I51" s="6">
        <v>13485000</v>
      </c>
      <c r="J51" s="6">
        <v>3479000</v>
      </c>
      <c r="K51" s="6">
        <v>3010000</v>
      </c>
      <c r="L51" s="6">
        <v>2189000</v>
      </c>
      <c r="M51" s="6">
        <v>2116500</v>
      </c>
      <c r="N51" s="6">
        <v>1903300</v>
      </c>
      <c r="O51" s="6">
        <v>1526700</v>
      </c>
      <c r="P51" s="6">
        <v>13009000</v>
      </c>
      <c r="Q51" s="6">
        <v>10928000</v>
      </c>
      <c r="R51" s="6">
        <v>9559000</v>
      </c>
      <c r="S51" s="6">
        <v>8270100</v>
      </c>
      <c r="T51" s="6">
        <v>7973900</v>
      </c>
      <c r="U51" s="6">
        <v>6781800</v>
      </c>
    </row>
    <row r="52" spans="1:21" ht="15">
      <c r="A52" s="2" t="s">
        <v>102</v>
      </c>
      <c r="B52" s="5">
        <v>4090153</v>
      </c>
      <c r="C52" s="2" t="s">
        <v>103</v>
      </c>
      <c r="D52" s="6">
        <v>2280800</v>
      </c>
      <c r="E52" s="6">
        <v>2330600</v>
      </c>
      <c r="F52" s="6">
        <v>2263000</v>
      </c>
      <c r="G52" s="6">
        <v>2169600</v>
      </c>
      <c r="H52" s="6">
        <v>2115900</v>
      </c>
      <c r="I52" s="6">
        <v>2145500</v>
      </c>
      <c r="J52" s="6">
        <v>1475700</v>
      </c>
      <c r="K52" s="6">
        <v>1263200</v>
      </c>
      <c r="L52" s="6">
        <v>1145400</v>
      </c>
      <c r="M52" s="6">
        <v>702000</v>
      </c>
      <c r="N52" s="6">
        <v>1088900</v>
      </c>
      <c r="O52" s="6">
        <v>832400</v>
      </c>
      <c r="P52" s="6">
        <v>12814300</v>
      </c>
      <c r="Q52" s="6">
        <v>11877500</v>
      </c>
      <c r="R52" s="6">
        <v>11131600</v>
      </c>
      <c r="S52" s="6">
        <v>10193000</v>
      </c>
      <c r="T52" s="6">
        <v>10187600</v>
      </c>
      <c r="U52" s="6">
        <v>9597600</v>
      </c>
    </row>
    <row r="53" spans="1:21" ht="15">
      <c r="A53" s="2" t="s">
        <v>104</v>
      </c>
      <c r="B53" s="5">
        <v>4024242</v>
      </c>
      <c r="C53" s="2" t="s">
        <v>105</v>
      </c>
      <c r="D53" s="6">
        <v>159560000</v>
      </c>
      <c r="E53" s="6">
        <v>182984000</v>
      </c>
      <c r="F53" s="6">
        <v>199225000</v>
      </c>
      <c r="G53" s="6">
        <v>158226000</v>
      </c>
      <c r="H53" s="6">
        <v>159281000</v>
      </c>
      <c r="I53" s="6">
        <v>144456000</v>
      </c>
      <c r="J53" s="6">
        <v>44243000</v>
      </c>
      <c r="K53" s="6">
        <v>43954000</v>
      </c>
      <c r="L53" s="6">
        <v>41925000</v>
      </c>
      <c r="M53" s="6">
        <v>43398000</v>
      </c>
      <c r="N53" s="6">
        <v>49707000</v>
      </c>
      <c r="O53" s="6">
        <v>43610000</v>
      </c>
      <c r="P53" s="6">
        <v>125648000</v>
      </c>
      <c r="Q53" s="6">
        <v>122336000</v>
      </c>
      <c r="R53" s="6">
        <v>122428000</v>
      </c>
      <c r="S53" s="6">
        <v>120741000</v>
      </c>
      <c r="T53" s="6">
        <v>134038000</v>
      </c>
      <c r="U53" s="6">
        <v>143050000</v>
      </c>
    </row>
    <row r="54" spans="1:21" ht="15">
      <c r="A54" s="2" t="s">
        <v>106</v>
      </c>
      <c r="B54" s="5">
        <v>4057157</v>
      </c>
      <c r="C54" s="2" t="s">
        <v>107</v>
      </c>
      <c r="D54" s="6">
        <v>9303506</v>
      </c>
      <c r="E54" s="6">
        <v>4768731</v>
      </c>
      <c r="F54" s="6">
        <v>7563090</v>
      </c>
      <c r="G54" s="6">
        <v>8370016</v>
      </c>
      <c r="H54" s="6">
        <v>7122906</v>
      </c>
      <c r="I54" s="6">
        <v>8129213</v>
      </c>
      <c r="J54" s="6">
        <v>2322278</v>
      </c>
      <c r="K54" s="6">
        <v>2046342</v>
      </c>
      <c r="L54" s="6">
        <v>1688764</v>
      </c>
      <c r="M54" s="6">
        <v>1448300</v>
      </c>
      <c r="N54" s="6">
        <v>1363737</v>
      </c>
      <c r="O54" s="6">
        <v>1250738</v>
      </c>
      <c r="P54" s="6">
        <v>4702755</v>
      </c>
      <c r="Q54" s="6">
        <v>4165187</v>
      </c>
      <c r="R54" s="6">
        <v>4275357</v>
      </c>
      <c r="S54" s="6">
        <v>4201662</v>
      </c>
      <c r="T54" s="6">
        <v>3407490</v>
      </c>
      <c r="U54" s="6">
        <v>2821137</v>
      </c>
    </row>
    <row r="55" spans="1:21" ht="15">
      <c r="A55" s="2" t="s">
        <v>108</v>
      </c>
      <c r="B55" s="5">
        <v>4208149</v>
      </c>
      <c r="C55" s="2" t="s">
        <v>109</v>
      </c>
      <c r="D55" s="6">
        <v>2734000</v>
      </c>
      <c r="E55" s="6">
        <v>2104600</v>
      </c>
      <c r="F55" s="6">
        <v>3061000</v>
      </c>
      <c r="G55" s="6">
        <v>2666000</v>
      </c>
      <c r="H55" s="6">
        <v>2626000</v>
      </c>
      <c r="I55" s="6">
        <v>2559000</v>
      </c>
      <c r="J55" s="6">
        <v>1906000</v>
      </c>
      <c r="K55" s="6">
        <v>1510000</v>
      </c>
      <c r="L55" s="6">
        <v>1266000</v>
      </c>
      <c r="M55" s="6">
        <v>1124000</v>
      </c>
      <c r="N55" s="6">
        <v>844000</v>
      </c>
      <c r="O55" s="6">
        <v>733000</v>
      </c>
      <c r="P55" s="6">
        <v>7206000</v>
      </c>
      <c r="Q55" s="6">
        <v>6131000</v>
      </c>
      <c r="R55" s="6">
        <v>5497000</v>
      </c>
      <c r="S55" s="6">
        <v>5005000</v>
      </c>
      <c r="T55" s="6">
        <v>4386000</v>
      </c>
      <c r="U55" s="6">
        <v>3790000</v>
      </c>
    </row>
    <row r="56" spans="1:21" ht="15">
      <c r="A56" s="2" t="s">
        <v>110</v>
      </c>
      <c r="B56" s="5">
        <v>1031164</v>
      </c>
      <c r="C56" s="2" t="s">
        <v>111</v>
      </c>
      <c r="D56" s="6">
        <v>9205600</v>
      </c>
      <c r="E56" s="6">
        <v>2458100</v>
      </c>
      <c r="F56" s="6">
        <v>3446400</v>
      </c>
      <c r="G56" s="6">
        <v>3590700</v>
      </c>
      <c r="H56" s="6">
        <v>3541000</v>
      </c>
      <c r="I56" s="6">
        <v>3798600</v>
      </c>
      <c r="J56" s="6">
        <v>6025200</v>
      </c>
      <c r="K56" s="6">
        <v>5539100</v>
      </c>
      <c r="L56" s="6">
        <v>5107500</v>
      </c>
      <c r="M56" s="6">
        <v>4380000</v>
      </c>
      <c r="N56" s="6">
        <v>3893900</v>
      </c>
      <c r="O56" s="6">
        <v>3696200</v>
      </c>
      <c r="P56" s="6">
        <v>20560900</v>
      </c>
      <c r="Q56" s="6">
        <v>19202600</v>
      </c>
      <c r="R56" s="6">
        <v>18012200</v>
      </c>
      <c r="S56" s="6">
        <v>16498300</v>
      </c>
      <c r="T56" s="6">
        <v>15005400</v>
      </c>
      <c r="U56" s="6">
        <v>14589800</v>
      </c>
    </row>
    <row r="57" spans="1:21" ht="15">
      <c r="A57" s="2" t="s">
        <v>112</v>
      </c>
      <c r="B57" s="5">
        <v>4344582</v>
      </c>
      <c r="C57" s="2" t="s">
        <v>113</v>
      </c>
      <c r="D57" s="6">
        <v>12577215</v>
      </c>
      <c r="E57" s="6">
        <v>8462130</v>
      </c>
      <c r="F57" s="6">
        <v>8415284</v>
      </c>
      <c r="G57" s="6">
        <v>9513777</v>
      </c>
      <c r="H57" s="6">
        <v>11130469</v>
      </c>
      <c r="I57" s="6">
        <v>12650851</v>
      </c>
      <c r="J57" s="6">
        <v>4223355</v>
      </c>
      <c r="K57" s="6">
        <v>4338463</v>
      </c>
      <c r="L57" s="6">
        <v>3971563</v>
      </c>
      <c r="M57" s="6">
        <v>3712952</v>
      </c>
      <c r="N57" s="6">
        <v>3395210</v>
      </c>
      <c r="O57" s="6">
        <v>2899045</v>
      </c>
      <c r="P57" s="6">
        <v>18938717</v>
      </c>
      <c r="Q57" s="6">
        <v>18490268</v>
      </c>
      <c r="R57" s="6">
        <v>17457209</v>
      </c>
      <c r="S57" s="6">
        <v>16252230</v>
      </c>
      <c r="T57" s="6">
        <v>14629585</v>
      </c>
      <c r="U57" s="6">
        <v>12631967</v>
      </c>
    </row>
    <row r="58" spans="1:21" ht="15">
      <c r="A58" s="2" t="s">
        <v>114</v>
      </c>
      <c r="B58" s="5">
        <v>103145</v>
      </c>
      <c r="C58" s="2" t="s">
        <v>115</v>
      </c>
      <c r="D58" s="6">
        <v>9497798</v>
      </c>
      <c r="E58" s="6">
        <v>7745816</v>
      </c>
      <c r="F58" s="6">
        <v>8270044</v>
      </c>
      <c r="G58" s="6">
        <v>8478716</v>
      </c>
      <c r="H58" s="6">
        <v>8135216</v>
      </c>
      <c r="I58" s="6">
        <v>8250531</v>
      </c>
      <c r="J58" s="6">
        <v>1846987</v>
      </c>
      <c r="K58" s="6">
        <v>1764699</v>
      </c>
      <c r="L58" s="6">
        <v>1711679</v>
      </c>
      <c r="M58" s="6">
        <v>1609518</v>
      </c>
      <c r="N58" s="6">
        <v>1409882</v>
      </c>
      <c r="O58" s="6">
        <v>1421550</v>
      </c>
      <c r="P58" s="6">
        <v>3041189</v>
      </c>
      <c r="Q58" s="6">
        <v>2912851</v>
      </c>
      <c r="R58" s="6">
        <v>2776345</v>
      </c>
      <c r="S58" s="6">
        <v>2608696</v>
      </c>
      <c r="T58" s="6">
        <v>2333435</v>
      </c>
      <c r="U58" s="6">
        <v>2302526</v>
      </c>
    </row>
    <row r="59" spans="1:21" ht="15">
      <c r="A59" s="2" t="s">
        <v>116</v>
      </c>
      <c r="B59" s="5">
        <v>3001622</v>
      </c>
      <c r="C59" s="2" t="s">
        <v>117</v>
      </c>
      <c r="D59" s="6">
        <v>3953600</v>
      </c>
      <c r="E59" s="6">
        <v>2313800</v>
      </c>
      <c r="F59" s="6">
        <v>3297600</v>
      </c>
      <c r="G59" s="6">
        <v>3258100</v>
      </c>
      <c r="H59" s="6">
        <v>3442000</v>
      </c>
      <c r="I59" s="6">
        <v>3377900</v>
      </c>
      <c r="J59" s="6">
        <v>1418900</v>
      </c>
      <c r="K59" s="6">
        <v>1423100</v>
      </c>
      <c r="L59" s="6">
        <v>1239800</v>
      </c>
      <c r="M59" s="6">
        <v>1349400</v>
      </c>
      <c r="N59" s="6">
        <v>1261800</v>
      </c>
      <c r="O59" s="6">
        <v>1049900</v>
      </c>
      <c r="P59" s="6">
        <v>8855500</v>
      </c>
      <c r="Q59" s="6">
        <v>8755700</v>
      </c>
      <c r="R59" s="6">
        <v>8364300</v>
      </c>
      <c r="S59" s="6">
        <v>9039300</v>
      </c>
      <c r="T59" s="6">
        <v>8408300</v>
      </c>
      <c r="U59" s="6">
        <v>6971500</v>
      </c>
    </row>
    <row r="60" spans="1:21" ht="15">
      <c r="A60" s="2" t="s">
        <v>118</v>
      </c>
      <c r="B60" s="5">
        <v>4142027</v>
      </c>
      <c r="C60" s="2" t="s">
        <v>119</v>
      </c>
      <c r="D60" s="6">
        <v>1916654</v>
      </c>
      <c r="E60" s="6">
        <v>24383</v>
      </c>
      <c r="F60" s="6">
        <v>26980</v>
      </c>
      <c r="G60" s="6">
        <v>717468</v>
      </c>
      <c r="H60" s="6">
        <v>718601</v>
      </c>
      <c r="I60" s="6">
        <v>731125</v>
      </c>
      <c r="J60" s="6">
        <v>53508</v>
      </c>
      <c r="K60" s="6">
        <v>107574</v>
      </c>
      <c r="L60" s="6">
        <v>176165</v>
      </c>
      <c r="M60" s="6">
        <v>116089</v>
      </c>
      <c r="N60" s="6">
        <v>-149429</v>
      </c>
      <c r="O60" s="6">
        <v>-475</v>
      </c>
      <c r="P60" s="6">
        <v>2779536</v>
      </c>
      <c r="Q60" s="6">
        <v>2082526</v>
      </c>
      <c r="R60" s="6">
        <v>1560699</v>
      </c>
      <c r="S60" s="6">
        <v>1187143</v>
      </c>
      <c r="T60" s="6">
        <v>863381</v>
      </c>
      <c r="U60" s="6">
        <v>681003</v>
      </c>
    </row>
    <row r="61" spans="1:21" ht="15">
      <c r="A61" s="2" t="s">
        <v>120</v>
      </c>
      <c r="B61" s="5">
        <v>6893503</v>
      </c>
      <c r="C61" s="2" t="s">
        <v>121</v>
      </c>
      <c r="D61" s="6">
        <v>6702000</v>
      </c>
      <c r="E61" s="6">
        <v>8442000</v>
      </c>
      <c r="F61" s="6">
        <v>7557000</v>
      </c>
      <c r="G61" s="6">
        <v>7467000</v>
      </c>
      <c r="H61" s="6">
        <v>6789000</v>
      </c>
      <c r="I61" s="6">
        <v>6696000</v>
      </c>
      <c r="J61" s="6">
        <v>4695000</v>
      </c>
      <c r="K61" s="6">
        <v>4569000</v>
      </c>
      <c r="L61" s="6">
        <v>3744000</v>
      </c>
      <c r="M61" s="6">
        <v>2989000</v>
      </c>
      <c r="N61" s="6">
        <v>2583000</v>
      </c>
      <c r="O61" s="6">
        <v>2349000</v>
      </c>
      <c r="P61" s="6">
        <v>27733000</v>
      </c>
      <c r="Q61" s="6">
        <v>27829000</v>
      </c>
      <c r="R61" s="6">
        <v>25506000</v>
      </c>
      <c r="S61" s="6">
        <v>21156000</v>
      </c>
      <c r="T61" s="6">
        <v>20502000</v>
      </c>
      <c r="U61" s="6">
        <v>20705000</v>
      </c>
    </row>
    <row r="62" spans="1:21" ht="15">
      <c r="A62" s="2" t="s">
        <v>122</v>
      </c>
      <c r="B62" s="5">
        <v>4014079</v>
      </c>
      <c r="C62" s="2" t="s">
        <v>123</v>
      </c>
      <c r="D62" s="6">
        <v>7374000</v>
      </c>
      <c r="E62" s="6">
        <v>8095000</v>
      </c>
      <c r="F62" s="6">
        <v>8157000</v>
      </c>
      <c r="G62" s="6">
        <v>9388000</v>
      </c>
      <c r="H62" s="6">
        <v>8942000</v>
      </c>
      <c r="I62" s="6">
        <v>6017000</v>
      </c>
      <c r="J62" s="6">
        <v>2012000</v>
      </c>
      <c r="K62" s="6">
        <v>1794000</v>
      </c>
      <c r="L62" s="6">
        <v>1776000</v>
      </c>
      <c r="M62" s="6">
        <v>1695000</v>
      </c>
      <c r="N62" s="6">
        <v>2133000</v>
      </c>
      <c r="O62" s="6">
        <v>1933000</v>
      </c>
      <c r="P62" s="6">
        <v>13161000</v>
      </c>
      <c r="Q62" s="6">
        <v>11795000</v>
      </c>
      <c r="R62" s="6">
        <v>12062000</v>
      </c>
      <c r="S62" s="6">
        <v>13372000</v>
      </c>
      <c r="T62" s="6">
        <v>13811000</v>
      </c>
      <c r="U62" s="6">
        <v>11781000</v>
      </c>
    </row>
    <row r="63" spans="1:21" ht="15">
      <c r="A63" s="2" t="s">
        <v>124</v>
      </c>
      <c r="B63" s="5">
        <v>100369</v>
      </c>
      <c r="C63" s="2" t="s">
        <v>125</v>
      </c>
      <c r="D63" s="6">
        <v>767072000</v>
      </c>
      <c r="E63" s="6">
        <v>524788000</v>
      </c>
      <c r="F63" s="6">
        <v>556123000</v>
      </c>
      <c r="G63" s="6">
        <v>562151000</v>
      </c>
      <c r="H63" s="6">
        <v>681469000</v>
      </c>
      <c r="I63" s="6">
        <v>717447000</v>
      </c>
      <c r="J63" s="7" t="s">
        <v>61</v>
      </c>
      <c r="K63" s="7" t="s">
        <v>61</v>
      </c>
      <c r="L63" s="7" t="s">
        <v>61</v>
      </c>
      <c r="M63" s="7" t="s">
        <v>61</v>
      </c>
      <c r="N63" s="7" t="s">
        <v>61</v>
      </c>
      <c r="O63" s="7" t="s">
        <v>61</v>
      </c>
      <c r="P63" s="6">
        <v>107422000</v>
      </c>
      <c r="Q63" s="6">
        <v>100035000</v>
      </c>
      <c r="R63" s="6">
        <v>98375000</v>
      </c>
      <c r="S63" s="6">
        <v>92407000</v>
      </c>
      <c r="T63" s="6">
        <v>93707000</v>
      </c>
      <c r="U63" s="6">
        <v>74208000</v>
      </c>
    </row>
    <row r="64" spans="1:21" ht="15">
      <c r="A64" s="2" t="s">
        <v>126</v>
      </c>
      <c r="B64" s="5">
        <v>4081442</v>
      </c>
      <c r="C64" s="2" t="s">
        <v>127</v>
      </c>
      <c r="D64" s="6">
        <v>9780000</v>
      </c>
      <c r="E64" s="6">
        <v>6804000</v>
      </c>
      <c r="F64" s="6">
        <v>18310000</v>
      </c>
      <c r="G64" s="6">
        <v>17203000</v>
      </c>
      <c r="H64" s="6">
        <v>14113000</v>
      </c>
      <c r="I64" s="6">
        <v>13449000</v>
      </c>
      <c r="J64" s="6">
        <v>2018000</v>
      </c>
      <c r="K64" s="6">
        <v>1885000</v>
      </c>
      <c r="L64" s="6">
        <v>1880000</v>
      </c>
      <c r="M64" s="6">
        <v>1980000</v>
      </c>
      <c r="N64" s="6">
        <v>2597000</v>
      </c>
      <c r="O64" s="6">
        <v>2536000</v>
      </c>
      <c r="P64" s="6">
        <v>11244000</v>
      </c>
      <c r="Q64" s="6">
        <v>10636000</v>
      </c>
      <c r="R64" s="6">
        <v>10360000</v>
      </c>
      <c r="S64" s="6">
        <v>10057000</v>
      </c>
      <c r="T64" s="6">
        <v>12146000</v>
      </c>
      <c r="U64" s="6">
        <v>11673000</v>
      </c>
    </row>
    <row r="65" spans="1:21" ht="15">
      <c r="A65" s="2" t="s">
        <v>128</v>
      </c>
      <c r="B65" s="5">
        <v>4133271</v>
      </c>
      <c r="C65" s="2" t="s">
        <v>129</v>
      </c>
      <c r="D65" s="6">
        <v>20020000</v>
      </c>
      <c r="E65" s="6">
        <v>18373000</v>
      </c>
      <c r="F65" s="6">
        <v>18080000</v>
      </c>
      <c r="G65" s="6">
        <v>16567000</v>
      </c>
      <c r="H65" s="6">
        <v>16410000</v>
      </c>
      <c r="I65" s="6">
        <v>20919000</v>
      </c>
      <c r="J65" s="6">
        <v>6124000</v>
      </c>
      <c r="K65" s="6">
        <v>5133000</v>
      </c>
      <c r="L65" s="6">
        <v>4418000</v>
      </c>
      <c r="M65" s="6">
        <v>4793000</v>
      </c>
      <c r="N65" s="6">
        <v>5051000</v>
      </c>
      <c r="O65" s="6">
        <v>4033000</v>
      </c>
      <c r="P65" s="6">
        <v>21840000</v>
      </c>
      <c r="Q65" s="6">
        <v>20178000</v>
      </c>
      <c r="R65" s="6">
        <v>19372000</v>
      </c>
      <c r="S65" s="6">
        <v>18870000</v>
      </c>
      <c r="T65" s="6">
        <v>19131000</v>
      </c>
      <c r="U65" s="6">
        <v>16074000</v>
      </c>
    </row>
    <row r="66" spans="1:21" ht="15">
      <c r="A66" s="2" t="s">
        <v>130</v>
      </c>
      <c r="B66" s="5">
        <v>103462</v>
      </c>
      <c r="C66" s="2" t="s">
        <v>131</v>
      </c>
      <c r="D66" s="6">
        <v>135371000</v>
      </c>
      <c r="E66" s="6">
        <v>122364000</v>
      </c>
      <c r="F66" s="6">
        <v>119253000</v>
      </c>
      <c r="G66" s="6">
        <v>127683000</v>
      </c>
      <c r="H66" s="6">
        <v>133570000</v>
      </c>
      <c r="I66" s="6">
        <v>130758000</v>
      </c>
      <c r="J66" s="6">
        <v>110594000</v>
      </c>
      <c r="K66" s="6">
        <v>126590000</v>
      </c>
      <c r="L66" s="6">
        <v>135682000</v>
      </c>
      <c r="M66" s="6">
        <v>-17112000</v>
      </c>
      <c r="N66" s="6">
        <v>125865000</v>
      </c>
      <c r="O66" s="6">
        <v>80386000</v>
      </c>
      <c r="P66" s="6">
        <v>371444000</v>
      </c>
      <c r="Q66" s="6">
        <v>371433000</v>
      </c>
      <c r="R66" s="6">
        <v>364482000</v>
      </c>
      <c r="S66" s="6">
        <v>302020000</v>
      </c>
      <c r="T66" s="6">
        <v>276185000</v>
      </c>
      <c r="U66" s="6">
        <v>245579000</v>
      </c>
    </row>
    <row r="67" spans="1:21" ht="15">
      <c r="A67" s="2" t="s">
        <v>132</v>
      </c>
      <c r="B67" s="5">
        <v>4095864</v>
      </c>
      <c r="C67" s="2" t="s">
        <v>133</v>
      </c>
      <c r="D67" s="6">
        <v>4134000</v>
      </c>
      <c r="E67" s="6">
        <v>4082000</v>
      </c>
      <c r="F67" s="6">
        <v>3938000</v>
      </c>
      <c r="G67" s="6">
        <v>3978000</v>
      </c>
      <c r="H67" s="6">
        <v>3993000</v>
      </c>
      <c r="I67" s="6">
        <v>4067000</v>
      </c>
      <c r="J67" s="6">
        <v>2602000</v>
      </c>
      <c r="K67" s="6">
        <v>2602000</v>
      </c>
      <c r="L67" s="6">
        <v>2652000</v>
      </c>
      <c r="M67" s="6">
        <v>2860000</v>
      </c>
      <c r="N67" s="6">
        <v>3879000</v>
      </c>
      <c r="O67" s="6">
        <v>3507000</v>
      </c>
      <c r="P67" s="6">
        <v>41691000</v>
      </c>
      <c r="Q67" s="6">
        <v>41528000</v>
      </c>
      <c r="R67" s="6">
        <v>43452000</v>
      </c>
      <c r="S67" s="6">
        <v>46298000</v>
      </c>
      <c r="T67" s="6">
        <v>51761000</v>
      </c>
      <c r="U67" s="6">
        <v>47262000</v>
      </c>
    </row>
    <row r="68" spans="1:21" ht="15">
      <c r="A68" s="2" t="s">
        <v>134</v>
      </c>
      <c r="B68" s="5">
        <v>4152157</v>
      </c>
      <c r="C68" s="2" t="s">
        <v>135</v>
      </c>
      <c r="D68" s="6">
        <v>6657600</v>
      </c>
      <c r="E68" s="6">
        <v>7911400</v>
      </c>
      <c r="F68" s="6">
        <v>7692600</v>
      </c>
      <c r="G68" s="6">
        <v>6711200</v>
      </c>
      <c r="H68" s="6">
        <v>7428500</v>
      </c>
      <c r="I68" s="6">
        <v>6716700</v>
      </c>
      <c r="J68" s="6">
        <v>3603700</v>
      </c>
      <c r="K68" s="6">
        <v>3238700</v>
      </c>
      <c r="L68" s="6">
        <v>2393600</v>
      </c>
      <c r="M68" s="6">
        <v>3536900</v>
      </c>
      <c r="N68" s="6">
        <v>3923400</v>
      </c>
      <c r="O68" s="6">
        <v>5108300</v>
      </c>
      <c r="P68" s="6">
        <v>9890600</v>
      </c>
      <c r="Q68" s="6">
        <v>9675900</v>
      </c>
      <c r="R68" s="6">
        <v>9835600</v>
      </c>
      <c r="S68" s="6">
        <v>10173400</v>
      </c>
      <c r="T68" s="6">
        <v>10981700</v>
      </c>
      <c r="U68" s="6">
        <v>13444600</v>
      </c>
    </row>
    <row r="69" spans="1:21" ht="15">
      <c r="A69" s="2" t="s">
        <v>136</v>
      </c>
      <c r="B69" s="5">
        <v>4810610</v>
      </c>
      <c r="C69" s="2" t="s">
        <v>137</v>
      </c>
      <c r="D69" s="6">
        <v>444058</v>
      </c>
      <c r="E69" s="6">
        <v>450857</v>
      </c>
      <c r="F69" s="6">
        <v>428930</v>
      </c>
      <c r="G69" s="6">
        <v>326447</v>
      </c>
      <c r="H69" s="6">
        <v>454965</v>
      </c>
      <c r="I69" s="6">
        <v>419538</v>
      </c>
      <c r="J69" s="6">
        <v>331142</v>
      </c>
      <c r="K69" s="6">
        <v>313719</v>
      </c>
      <c r="L69" s="6">
        <v>344046</v>
      </c>
      <c r="M69" s="6">
        <v>339528</v>
      </c>
      <c r="N69" s="6">
        <v>302647</v>
      </c>
      <c r="O69" s="6">
        <v>198999</v>
      </c>
      <c r="P69" s="6">
        <v>1219635</v>
      </c>
      <c r="Q69" s="6">
        <v>1159060</v>
      </c>
      <c r="R69" s="6">
        <v>1136702</v>
      </c>
      <c r="S69" s="6">
        <v>1105599</v>
      </c>
      <c r="T69" s="6">
        <v>931032</v>
      </c>
      <c r="U69" s="6">
        <v>738691</v>
      </c>
    </row>
    <row r="70" spans="1:21" ht="15">
      <c r="A70" s="2" t="s">
        <v>138</v>
      </c>
      <c r="B70" s="5">
        <v>4048287</v>
      </c>
      <c r="C70" s="2" t="s">
        <v>139</v>
      </c>
      <c r="D70" s="6">
        <v>14996000</v>
      </c>
      <c r="E70" s="6">
        <v>8069000</v>
      </c>
      <c r="F70" s="6">
        <v>9332000</v>
      </c>
      <c r="G70" s="6">
        <v>8489000</v>
      </c>
      <c r="H70" s="6">
        <v>9702000</v>
      </c>
      <c r="I70" s="6">
        <v>14222000</v>
      </c>
      <c r="J70" s="6">
        <v>9686000</v>
      </c>
      <c r="K70" s="6">
        <v>8207000</v>
      </c>
      <c r="L70" s="6">
        <v>6766000</v>
      </c>
      <c r="M70" s="6">
        <v>6897000</v>
      </c>
      <c r="N70" s="6">
        <v>7899000</v>
      </c>
      <c r="O70" s="6">
        <v>6076000</v>
      </c>
      <c r="P70" s="6">
        <v>24216000</v>
      </c>
      <c r="Q70" s="6">
        <v>20407000</v>
      </c>
      <c r="R70" s="6">
        <v>17859000</v>
      </c>
      <c r="S70" s="6">
        <v>17873000</v>
      </c>
      <c r="T70" s="6">
        <v>19374000</v>
      </c>
      <c r="U70" s="6">
        <v>16205000</v>
      </c>
    </row>
    <row r="71" spans="1:21" ht="15">
      <c r="A71" s="2" t="s">
        <v>140</v>
      </c>
      <c r="B71" s="5">
        <v>4157397</v>
      </c>
      <c r="C71" s="2" t="s">
        <v>141</v>
      </c>
      <c r="D71" s="6">
        <v>14557704</v>
      </c>
      <c r="E71" s="6">
        <v>6544493</v>
      </c>
      <c r="F71" s="6">
        <v>8861842</v>
      </c>
      <c r="G71" s="6">
        <v>13598029</v>
      </c>
      <c r="H71" s="6">
        <v>12948503</v>
      </c>
      <c r="I71" s="6">
        <v>13362465</v>
      </c>
      <c r="J71" s="7" t="s">
        <v>61</v>
      </c>
      <c r="K71" s="7" t="s">
        <v>61</v>
      </c>
      <c r="L71" s="7" t="s">
        <v>61</v>
      </c>
      <c r="M71" s="7" t="s">
        <v>61</v>
      </c>
      <c r="N71" s="7" t="s">
        <v>61</v>
      </c>
      <c r="O71" s="7" t="s">
        <v>61</v>
      </c>
      <c r="P71" s="6">
        <v>14212824</v>
      </c>
      <c r="Q71" s="6">
        <v>12662587</v>
      </c>
      <c r="R71" s="6">
        <v>7683902</v>
      </c>
      <c r="S71" s="6">
        <v>8015891</v>
      </c>
      <c r="T71" s="6">
        <v>22175794</v>
      </c>
      <c r="U71" s="6">
        <v>6188907</v>
      </c>
    </row>
    <row r="72" spans="1:21" ht="15">
      <c r="A72" s="2" t="s">
        <v>142</v>
      </c>
      <c r="B72" s="5">
        <v>4340737</v>
      </c>
      <c r="C72" s="2" t="s">
        <v>143</v>
      </c>
      <c r="D72" s="6">
        <v>8966376</v>
      </c>
      <c r="E72" s="6">
        <v>3493427</v>
      </c>
      <c r="F72" s="6">
        <v>5516240</v>
      </c>
      <c r="G72" s="6">
        <v>6332764</v>
      </c>
      <c r="H72" s="6">
        <v>6071517</v>
      </c>
      <c r="I72" s="6">
        <v>7918613</v>
      </c>
      <c r="J72" s="6">
        <v>2070485</v>
      </c>
      <c r="K72" s="6">
        <v>1345598</v>
      </c>
      <c r="L72" s="6">
        <v>122792</v>
      </c>
      <c r="M72" s="6">
        <v>-338003</v>
      </c>
      <c r="N72" s="6">
        <v>273224</v>
      </c>
      <c r="O72" s="6">
        <v>65397</v>
      </c>
      <c r="P72" s="6">
        <v>24193683</v>
      </c>
      <c r="Q72" s="6">
        <v>24121053</v>
      </c>
      <c r="R72" s="6">
        <v>21915623</v>
      </c>
      <c r="S72" s="6">
        <v>17531587</v>
      </c>
      <c r="T72" s="6">
        <v>17661203</v>
      </c>
      <c r="U72" s="6">
        <v>9497578</v>
      </c>
    </row>
    <row r="73" spans="1:21" ht="15">
      <c r="A73" s="2" t="s">
        <v>144</v>
      </c>
      <c r="B73" s="5">
        <v>4122589</v>
      </c>
      <c r="C73" s="2" t="s">
        <v>145</v>
      </c>
      <c r="D73" s="6">
        <v>19414000</v>
      </c>
      <c r="E73" s="6">
        <v>12539000</v>
      </c>
      <c r="F73" s="6">
        <v>11430000</v>
      </c>
      <c r="G73" s="6">
        <v>13215000</v>
      </c>
      <c r="H73" s="6">
        <v>15003000</v>
      </c>
      <c r="I73" s="6">
        <v>17236000</v>
      </c>
      <c r="J73" s="6">
        <v>10110000</v>
      </c>
      <c r="K73" s="6">
        <v>8180000</v>
      </c>
      <c r="L73" s="6">
        <v>6429000</v>
      </c>
      <c r="M73" s="6">
        <v>5313000</v>
      </c>
      <c r="N73" s="6">
        <v>3053000</v>
      </c>
      <c r="O73" s="6">
        <v>965000</v>
      </c>
      <c r="P73" s="6">
        <v>26917000</v>
      </c>
      <c r="Q73" s="6">
        <v>23739000</v>
      </c>
      <c r="R73" s="6">
        <v>21365000</v>
      </c>
      <c r="S73" s="6">
        <v>17090000</v>
      </c>
      <c r="T73" s="6">
        <v>10958000</v>
      </c>
      <c r="U73" s="6">
        <v>6796000</v>
      </c>
    </row>
    <row r="74" spans="1:21" ht="15">
      <c r="A74" s="2" t="s">
        <v>146</v>
      </c>
      <c r="B74" s="5">
        <v>4810597</v>
      </c>
      <c r="C74" s="2" t="s">
        <v>147</v>
      </c>
      <c r="D74" s="6">
        <v>11972000</v>
      </c>
      <c r="E74" s="6">
        <v>9614000</v>
      </c>
      <c r="F74" s="6">
        <v>9525000</v>
      </c>
      <c r="G74" s="6">
        <v>9343000</v>
      </c>
      <c r="H74" s="6">
        <v>9568000</v>
      </c>
      <c r="I74" s="6">
        <v>11228000</v>
      </c>
      <c r="J74" s="6">
        <v>5339000</v>
      </c>
      <c r="K74" s="6">
        <v>4271000</v>
      </c>
      <c r="L74" s="6">
        <v>3613000</v>
      </c>
      <c r="M74" s="6">
        <v>3169000</v>
      </c>
      <c r="N74" s="6">
        <v>2917000</v>
      </c>
      <c r="O74" s="6">
        <v>2075000</v>
      </c>
      <c r="P74" s="6">
        <v>20074000</v>
      </c>
      <c r="Q74" s="6">
        <v>16747000</v>
      </c>
      <c r="R74" s="6">
        <v>14240000</v>
      </c>
      <c r="S74" s="6">
        <v>12682000</v>
      </c>
      <c r="T74" s="6">
        <v>11888000</v>
      </c>
      <c r="U74" s="6">
        <v>9913000</v>
      </c>
    </row>
    <row r="75" spans="1:21" ht="15">
      <c r="A75" s="2" t="s">
        <v>148</v>
      </c>
      <c r="B75" s="5">
        <v>4623856</v>
      </c>
      <c r="C75" s="2" t="s">
        <v>149</v>
      </c>
      <c r="D75" s="6">
        <v>47187000</v>
      </c>
      <c r="E75" s="6">
        <v>51683000</v>
      </c>
      <c r="F75" s="6">
        <v>45596000</v>
      </c>
      <c r="G75" s="6">
        <v>40820000</v>
      </c>
      <c r="H75" s="6">
        <v>41507000</v>
      </c>
      <c r="I75" s="6">
        <v>51237000</v>
      </c>
      <c r="J75" s="6">
        <v>19116000</v>
      </c>
      <c r="K75" s="6">
        <v>19407000</v>
      </c>
      <c r="L75" s="6">
        <v>18134000</v>
      </c>
      <c r="M75" s="6">
        <v>19423000</v>
      </c>
      <c r="N75" s="6">
        <v>19329000</v>
      </c>
      <c r="O75" s="6">
        <v>13824000</v>
      </c>
      <c r="P75" s="6">
        <v>48194000</v>
      </c>
      <c r="Q75" s="6">
        <v>48300000</v>
      </c>
      <c r="R75" s="6">
        <v>45006000</v>
      </c>
      <c r="S75" s="6">
        <v>46159000</v>
      </c>
      <c r="T75" s="6">
        <v>46385000</v>
      </c>
      <c r="U75" s="6">
        <v>42518000</v>
      </c>
    </row>
    <row r="76" spans="1:21" ht="15">
      <c r="A76" s="2" t="s">
        <v>150</v>
      </c>
      <c r="B76" s="5">
        <v>4970473</v>
      </c>
      <c r="C76" s="2" t="s">
        <v>151</v>
      </c>
      <c r="D76" s="6">
        <v>66461000</v>
      </c>
      <c r="E76" s="6">
        <v>41689000</v>
      </c>
      <c r="F76" s="6">
        <v>40273000</v>
      </c>
      <c r="G76" s="6">
        <v>39978000</v>
      </c>
      <c r="H76" s="6">
        <v>39648000</v>
      </c>
      <c r="I76" s="6">
        <v>68916000</v>
      </c>
      <c r="J76" s="6">
        <v>35003000</v>
      </c>
      <c r="K76" s="6">
        <v>25658000</v>
      </c>
      <c r="L76" s="6">
        <v>20455000</v>
      </c>
      <c r="M76" s="6">
        <v>19174000</v>
      </c>
      <c r="N76" s="6">
        <v>14626000</v>
      </c>
      <c r="O76" s="6">
        <v>11266000</v>
      </c>
      <c r="P76" s="6">
        <v>63887000</v>
      </c>
      <c r="Q76" s="6">
        <v>51574000</v>
      </c>
      <c r="R76" s="6">
        <v>35819000</v>
      </c>
      <c r="S76" s="6">
        <v>33203000</v>
      </c>
      <c r="T76" s="6">
        <v>27450000</v>
      </c>
      <c r="U76" s="6">
        <v>23888000</v>
      </c>
    </row>
    <row r="77" spans="1:21" ht="15">
      <c r="A77" s="2" t="s">
        <v>152</v>
      </c>
      <c r="B77" s="5">
        <v>4157226</v>
      </c>
      <c r="C77" s="2" t="s">
        <v>153</v>
      </c>
      <c r="D77" s="6">
        <v>3459000</v>
      </c>
      <c r="E77" s="6">
        <v>2111100</v>
      </c>
      <c r="F77" s="6">
        <v>4190900</v>
      </c>
      <c r="G77" s="6">
        <v>4066200</v>
      </c>
      <c r="H77" s="6">
        <v>3652600</v>
      </c>
      <c r="I77" s="6">
        <v>3576900</v>
      </c>
      <c r="J77" s="6">
        <v>1686700</v>
      </c>
      <c r="K77" s="6">
        <v>1495000</v>
      </c>
      <c r="L77" s="6">
        <v>1361400</v>
      </c>
      <c r="M77" s="6">
        <v>1223900</v>
      </c>
      <c r="N77" s="6">
        <v>1013300</v>
      </c>
      <c r="O77" s="6">
        <v>924200</v>
      </c>
      <c r="P77" s="6">
        <v>6889100</v>
      </c>
      <c r="Q77" s="6">
        <v>6506800</v>
      </c>
      <c r="R77" s="6">
        <v>6060900</v>
      </c>
      <c r="S77" s="6">
        <v>5709100</v>
      </c>
      <c r="T77" s="6">
        <v>4993700</v>
      </c>
      <c r="U77" s="6">
        <v>4529000</v>
      </c>
    </row>
    <row r="78" spans="1:21" ht="15">
      <c r="A78" s="2" t="s">
        <v>154</v>
      </c>
      <c r="B78" s="5">
        <v>103448</v>
      </c>
      <c r="C78" s="2" t="s">
        <v>155</v>
      </c>
      <c r="D78" s="6">
        <v>7918000</v>
      </c>
      <c r="E78" s="6">
        <v>2312383</v>
      </c>
      <c r="F78" s="6">
        <v>2246300</v>
      </c>
      <c r="G78" s="6">
        <v>4183000</v>
      </c>
      <c r="H78" s="6">
        <v>4020000</v>
      </c>
      <c r="I78" s="6">
        <v>4060000</v>
      </c>
      <c r="J78" s="6">
        <v>1982000</v>
      </c>
      <c r="K78" s="6">
        <v>1589000</v>
      </c>
      <c r="L78" s="6">
        <v>1362000</v>
      </c>
      <c r="M78" s="6">
        <v>1152000</v>
      </c>
      <c r="N78" s="6">
        <v>1010400</v>
      </c>
      <c r="O78" s="6">
        <v>808200</v>
      </c>
      <c r="P78" s="6">
        <v>5763000</v>
      </c>
      <c r="Q78" s="6">
        <v>4705000</v>
      </c>
      <c r="R78" s="6">
        <v>4199000</v>
      </c>
      <c r="S78" s="6">
        <v>3566000</v>
      </c>
      <c r="T78" s="6">
        <v>3050300</v>
      </c>
      <c r="U78" s="6">
        <v>2610600</v>
      </c>
    </row>
    <row r="79" spans="1:21" ht="15">
      <c r="A79" s="2" t="s">
        <v>156</v>
      </c>
      <c r="B79" s="5">
        <v>4086734</v>
      </c>
      <c r="C79" s="2" t="s">
        <v>157</v>
      </c>
      <c r="D79" s="6">
        <v>2837000</v>
      </c>
      <c r="E79" s="6">
        <v>2655000</v>
      </c>
      <c r="F79" s="6">
        <v>2628000</v>
      </c>
      <c r="G79" s="6">
        <v>2344000</v>
      </c>
      <c r="H79" s="6">
        <v>2998000</v>
      </c>
      <c r="I79" s="6">
        <v>3197000</v>
      </c>
      <c r="J79" s="6">
        <v>1246000</v>
      </c>
      <c r="K79" s="6">
        <v>1232000</v>
      </c>
      <c r="L79" s="6">
        <v>1258000</v>
      </c>
      <c r="M79" s="6">
        <v>1315000</v>
      </c>
      <c r="N79" s="6">
        <v>1093000</v>
      </c>
      <c r="O79" s="6">
        <v>1174000</v>
      </c>
      <c r="P79" s="6">
        <v>3975000</v>
      </c>
      <c r="Q79" s="6">
        <v>4178000</v>
      </c>
      <c r="R79" s="6">
        <v>4228000</v>
      </c>
      <c r="S79" s="6">
        <v>3933000</v>
      </c>
      <c r="T79" s="6">
        <v>3461000</v>
      </c>
      <c r="U79" s="6">
        <v>3363000</v>
      </c>
    </row>
    <row r="80" spans="1:21" ht="15">
      <c r="A80" s="2" t="s">
        <v>158</v>
      </c>
      <c r="B80" s="5">
        <v>4073448</v>
      </c>
      <c r="C80" s="2" t="s">
        <v>159</v>
      </c>
      <c r="D80" s="6">
        <v>5100271</v>
      </c>
      <c r="E80" s="6">
        <v>1905104</v>
      </c>
      <c r="F80" s="6">
        <v>3401751</v>
      </c>
      <c r="G80" s="6">
        <v>3489418</v>
      </c>
      <c r="H80" s="6">
        <v>3713358</v>
      </c>
      <c r="I80" s="6">
        <v>4332825</v>
      </c>
      <c r="J80" s="6">
        <v>1377708</v>
      </c>
      <c r="K80" s="6">
        <v>2157178</v>
      </c>
      <c r="L80" s="6">
        <v>2734594</v>
      </c>
      <c r="M80" s="6">
        <v>4267346</v>
      </c>
      <c r="N80" s="6">
        <v>2952376</v>
      </c>
      <c r="O80" s="6">
        <v>682920</v>
      </c>
      <c r="P80" s="6">
        <v>15190638</v>
      </c>
      <c r="Q80" s="6">
        <v>16400492</v>
      </c>
      <c r="R80" s="6">
        <v>17097330</v>
      </c>
      <c r="S80" s="6">
        <v>22726418</v>
      </c>
      <c r="T80" s="6">
        <v>19893856</v>
      </c>
      <c r="U80" s="6">
        <v>8558874</v>
      </c>
    </row>
    <row r="81" spans="1:21" ht="15">
      <c r="A81" s="2" t="s">
        <v>160</v>
      </c>
      <c r="B81" s="5">
        <v>4500439</v>
      </c>
      <c r="C81" s="2" t="s">
        <v>161</v>
      </c>
      <c r="D81" s="6">
        <v>15855000</v>
      </c>
      <c r="E81" s="6">
        <v>8104000</v>
      </c>
      <c r="F81" s="6">
        <v>6820000</v>
      </c>
      <c r="G81" s="6">
        <v>5623000</v>
      </c>
      <c r="H81" s="6">
        <v>5756000</v>
      </c>
      <c r="I81" s="6">
        <v>7119000</v>
      </c>
      <c r="J81" s="6">
        <v>2095000</v>
      </c>
      <c r="K81" s="6">
        <v>2275000</v>
      </c>
      <c r="L81" s="6">
        <v>3710000</v>
      </c>
      <c r="M81" s="6">
        <v>2855000</v>
      </c>
      <c r="N81" s="6">
        <v>2783000</v>
      </c>
      <c r="O81" s="6">
        <v>1847000</v>
      </c>
      <c r="P81" s="6">
        <v>70329000</v>
      </c>
      <c r="Q81" s="6">
        <v>53108000</v>
      </c>
      <c r="R81" s="6">
        <v>59540000</v>
      </c>
      <c r="S81" s="6">
        <v>67232000</v>
      </c>
      <c r="T81" s="6">
        <v>59152000</v>
      </c>
      <c r="U81" s="6">
        <v>41404000</v>
      </c>
    </row>
    <row r="82" spans="1:21" ht="15">
      <c r="A82" s="2" t="s">
        <v>162</v>
      </c>
      <c r="B82" s="5">
        <v>112885</v>
      </c>
      <c r="C82" s="2" t="s">
        <v>163</v>
      </c>
      <c r="D82" s="6">
        <v>17367018</v>
      </c>
      <c r="E82" s="6">
        <v>13485963</v>
      </c>
      <c r="F82" s="6">
        <v>13345591</v>
      </c>
      <c r="G82" s="6">
        <v>14694357</v>
      </c>
      <c r="H82" s="6">
        <v>16624649</v>
      </c>
      <c r="I82" s="6">
        <v>16984070</v>
      </c>
      <c r="J82" s="6">
        <v>1610951</v>
      </c>
      <c r="K82" s="6">
        <v>1896613</v>
      </c>
      <c r="L82" s="6">
        <v>1845556</v>
      </c>
      <c r="M82" s="6">
        <v>1805749</v>
      </c>
      <c r="N82" s="6">
        <v>1675122</v>
      </c>
      <c r="O82" s="6">
        <v>1572817</v>
      </c>
      <c r="P82" s="6">
        <v>3153086</v>
      </c>
      <c r="Q82" s="6">
        <v>3380319</v>
      </c>
      <c r="R82" s="6">
        <v>3236199</v>
      </c>
      <c r="S82" s="6">
        <v>3090580</v>
      </c>
      <c r="T82" s="6">
        <v>2865880</v>
      </c>
      <c r="U82" s="6">
        <v>2737804</v>
      </c>
    </row>
    <row r="83" spans="1:21" ht="15">
      <c r="A83" s="2" t="s">
        <v>164</v>
      </c>
      <c r="B83" s="5">
        <v>4095936</v>
      </c>
      <c r="C83" s="2" t="s">
        <v>165</v>
      </c>
      <c r="D83" s="6">
        <v>1395386</v>
      </c>
      <c r="E83" s="6">
        <v>1428047</v>
      </c>
      <c r="F83" s="6">
        <v>2226329</v>
      </c>
      <c r="G83" s="6">
        <v>2361168</v>
      </c>
      <c r="H83" s="6">
        <v>1952501</v>
      </c>
      <c r="I83" s="6">
        <v>1741132</v>
      </c>
      <c r="J83" s="6">
        <v>874992</v>
      </c>
      <c r="K83" s="6">
        <v>774952</v>
      </c>
      <c r="L83" s="6">
        <v>592265</v>
      </c>
      <c r="M83" s="6">
        <v>1365013</v>
      </c>
      <c r="N83" s="6">
        <v>1147392</v>
      </c>
      <c r="O83" s="6">
        <v>752383</v>
      </c>
      <c r="P83" s="6">
        <v>16232763</v>
      </c>
      <c r="Q83" s="6">
        <v>17724956</v>
      </c>
      <c r="R83" s="6">
        <v>17596443</v>
      </c>
      <c r="S83" s="6">
        <v>24696625</v>
      </c>
      <c r="T83" s="6">
        <v>23102138</v>
      </c>
      <c r="U83" s="6">
        <v>16207106</v>
      </c>
    </row>
    <row r="84" spans="1:21" ht="15">
      <c r="A84" s="2" t="s">
        <v>166</v>
      </c>
      <c r="B84" s="5">
        <v>4963284</v>
      </c>
      <c r="C84" s="2" t="s">
        <v>167</v>
      </c>
      <c r="D84" s="6">
        <v>2666328</v>
      </c>
      <c r="E84" s="6">
        <v>494629</v>
      </c>
      <c r="F84" s="6">
        <v>479980</v>
      </c>
      <c r="G84" s="6">
        <v>924152</v>
      </c>
      <c r="H84" s="6">
        <v>806033</v>
      </c>
      <c r="I84" s="6">
        <v>2626630</v>
      </c>
      <c r="J84" s="6">
        <v>1908109</v>
      </c>
      <c r="K84" s="6">
        <v>1594385</v>
      </c>
      <c r="L84" s="6">
        <v>1419630</v>
      </c>
      <c r="M84" s="6">
        <v>1215929</v>
      </c>
      <c r="N84" s="6">
        <v>922949</v>
      </c>
      <c r="O84" s="6">
        <v>802820</v>
      </c>
      <c r="P84" s="6">
        <v>5296759</v>
      </c>
      <c r="Q84" s="6">
        <v>4641264</v>
      </c>
      <c r="R84" s="6">
        <v>4089986</v>
      </c>
      <c r="S84" s="6">
        <v>3561718</v>
      </c>
      <c r="T84" s="6">
        <v>2988244</v>
      </c>
      <c r="U84" s="6">
        <v>2682891</v>
      </c>
    </row>
    <row r="85" spans="1:21" ht="15">
      <c r="A85" s="2" t="s">
        <v>168</v>
      </c>
      <c r="B85" s="5">
        <v>103094</v>
      </c>
      <c r="C85" s="2" t="s">
        <v>169</v>
      </c>
      <c r="D85" s="6">
        <v>3923490</v>
      </c>
      <c r="E85" s="6">
        <v>3179625</v>
      </c>
      <c r="F85" s="6">
        <v>3180367</v>
      </c>
      <c r="G85" s="6">
        <v>3689313</v>
      </c>
      <c r="H85" s="6">
        <v>3721436</v>
      </c>
      <c r="I85" s="6">
        <v>3488791</v>
      </c>
      <c r="J85" s="6">
        <v>899887</v>
      </c>
      <c r="K85" s="6">
        <v>883698</v>
      </c>
      <c r="L85" s="6">
        <v>899508</v>
      </c>
      <c r="M85" s="6">
        <v>835800</v>
      </c>
      <c r="N85" s="6">
        <v>656774</v>
      </c>
      <c r="O85" s="6">
        <v>588933</v>
      </c>
      <c r="P85" s="6">
        <v>1586767</v>
      </c>
      <c r="Q85" s="6">
        <v>1555399</v>
      </c>
      <c r="R85" s="6">
        <v>1546357</v>
      </c>
      <c r="S85" s="6">
        <v>1434011</v>
      </c>
      <c r="T85" s="6">
        <v>1165117</v>
      </c>
      <c r="U85" s="6">
        <v>1065638</v>
      </c>
    </row>
    <row r="86" spans="1:21" ht="15">
      <c r="A86" s="2" t="s">
        <v>170</v>
      </c>
      <c r="B86" s="5">
        <v>103239</v>
      </c>
      <c r="C86" s="2" t="s">
        <v>171</v>
      </c>
      <c r="D86" s="6">
        <v>53887000</v>
      </c>
      <c r="E86" s="6">
        <v>43006000</v>
      </c>
      <c r="F86" s="6">
        <v>45895000</v>
      </c>
      <c r="G86" s="6">
        <v>53488000</v>
      </c>
      <c r="H86" s="6">
        <v>53503000</v>
      </c>
      <c r="I86" s="6">
        <v>48544000</v>
      </c>
      <c r="J86" s="7" t="s">
        <v>61</v>
      </c>
      <c r="K86" s="7" t="s">
        <v>61</v>
      </c>
      <c r="L86" s="7" t="s">
        <v>61</v>
      </c>
      <c r="M86" s="7" t="s">
        <v>61</v>
      </c>
      <c r="N86" s="7" t="s">
        <v>61</v>
      </c>
      <c r="O86" s="7" t="s">
        <v>61</v>
      </c>
      <c r="P86" s="6">
        <v>32779000</v>
      </c>
      <c r="Q86" s="6">
        <v>27396000</v>
      </c>
      <c r="R86" s="6">
        <v>26361000</v>
      </c>
      <c r="S86" s="6">
        <v>28403000</v>
      </c>
      <c r="T86" s="6">
        <v>32379000</v>
      </c>
      <c r="U86" s="6">
        <v>18259000</v>
      </c>
    </row>
    <row r="87" spans="1:21" ht="15">
      <c r="A87" s="2" t="s">
        <v>172</v>
      </c>
      <c r="B87" s="5">
        <v>4073203</v>
      </c>
      <c r="C87" s="2" t="s">
        <v>173</v>
      </c>
      <c r="D87" s="6">
        <v>9388000</v>
      </c>
      <c r="E87" s="6">
        <v>7236000</v>
      </c>
      <c r="F87" s="6">
        <v>6715000</v>
      </c>
      <c r="G87" s="6">
        <v>5848000</v>
      </c>
      <c r="H87" s="6">
        <v>5269000</v>
      </c>
      <c r="I87" s="6">
        <v>5703000</v>
      </c>
      <c r="J87" s="6">
        <v>3273000</v>
      </c>
      <c r="K87" s="6">
        <v>2860000</v>
      </c>
      <c r="L87" s="6">
        <v>2481000</v>
      </c>
      <c r="M87" s="6">
        <v>2340000</v>
      </c>
      <c r="N87" s="6">
        <v>2577000</v>
      </c>
      <c r="O87" s="6">
        <v>2685000</v>
      </c>
      <c r="P87" s="6">
        <v>222578000</v>
      </c>
      <c r="Q87" s="6">
        <v>226827000</v>
      </c>
      <c r="R87" s="6">
        <v>204979000</v>
      </c>
      <c r="S87" s="6">
        <v>181326000</v>
      </c>
      <c r="T87" s="6">
        <v>162467000</v>
      </c>
      <c r="U87" s="6">
        <v>152922000</v>
      </c>
    </row>
    <row r="88" spans="1:21" ht="15">
      <c r="A88" s="2" t="s">
        <v>174</v>
      </c>
      <c r="B88" s="5">
        <v>4980730</v>
      </c>
      <c r="C88" s="2" t="s">
        <v>175</v>
      </c>
      <c r="D88" s="6">
        <v>27993000</v>
      </c>
      <c r="E88" s="6">
        <v>28390000</v>
      </c>
      <c r="F88" s="6">
        <v>34612000</v>
      </c>
      <c r="G88" s="6">
        <v>35881000</v>
      </c>
      <c r="H88" s="6">
        <v>31907000</v>
      </c>
      <c r="I88" s="6">
        <v>28876000</v>
      </c>
      <c r="J88" s="6">
        <v>7149000</v>
      </c>
      <c r="K88" s="6">
        <v>6076000</v>
      </c>
      <c r="L88" s="6">
        <v>4226000</v>
      </c>
      <c r="M88" s="6">
        <v>-1678000</v>
      </c>
      <c r="N88" s="6">
        <v>-4051000</v>
      </c>
      <c r="O88" s="6">
        <v>-2676000</v>
      </c>
      <c r="P88" s="6">
        <v>26622000</v>
      </c>
      <c r="Q88" s="6">
        <v>25021000</v>
      </c>
      <c r="R88" s="6">
        <v>21593000</v>
      </c>
      <c r="S88" s="6">
        <v>12169000</v>
      </c>
      <c r="T88" s="6">
        <v>1908000</v>
      </c>
      <c r="U88" s="6">
        <v>5594000</v>
      </c>
    </row>
    <row r="89" spans="1:21" ht="15">
      <c r="A89" s="2" t="s">
        <v>176</v>
      </c>
      <c r="B89" s="5">
        <v>4158618</v>
      </c>
      <c r="C89" s="2" t="s">
        <v>177</v>
      </c>
      <c r="D89" s="6">
        <v>12393000</v>
      </c>
      <c r="E89" s="6">
        <v>11030000</v>
      </c>
      <c r="F89" s="6">
        <v>10353000</v>
      </c>
      <c r="G89" s="6">
        <v>9503000</v>
      </c>
      <c r="H89" s="6">
        <v>14719000</v>
      </c>
      <c r="I89" s="6">
        <v>12929000</v>
      </c>
      <c r="J89" s="6">
        <v>3378000</v>
      </c>
      <c r="K89" s="6">
        <v>3562000</v>
      </c>
      <c r="L89" s="6">
        <v>2698000</v>
      </c>
      <c r="M89" s="6">
        <v>2285000</v>
      </c>
      <c r="N89" s="6">
        <v>2906000</v>
      </c>
      <c r="O89" s="6">
        <v>2411000</v>
      </c>
      <c r="P89" s="6">
        <v>21747000</v>
      </c>
      <c r="Q89" s="6">
        <v>22486000</v>
      </c>
      <c r="R89" s="6">
        <v>18951000</v>
      </c>
      <c r="S89" s="6">
        <v>17288000</v>
      </c>
      <c r="T89" s="6">
        <v>20613000</v>
      </c>
      <c r="U89" s="6">
        <v>17456000</v>
      </c>
    </row>
    <row r="90" spans="1:21" ht="15">
      <c r="A90" s="2" t="s">
        <v>178</v>
      </c>
      <c r="B90" s="5">
        <v>6676338</v>
      </c>
      <c r="C90" s="2" t="s">
        <v>179</v>
      </c>
      <c r="D90" s="6">
        <v>5595000</v>
      </c>
      <c r="E90" s="6">
        <v>1890000</v>
      </c>
      <c r="F90" s="6">
        <v>5774000</v>
      </c>
      <c r="G90" s="6">
        <v>8820000</v>
      </c>
      <c r="H90" s="6">
        <v>6713000</v>
      </c>
      <c r="I90" s="6">
        <v>6046000</v>
      </c>
      <c r="J90" s="6">
        <v>2159000</v>
      </c>
      <c r="K90" s="6">
        <v>1307000</v>
      </c>
      <c r="L90" s="6">
        <v>287000</v>
      </c>
      <c r="M90" s="6">
        <v>-1186000</v>
      </c>
      <c r="N90" s="6">
        <v>1000</v>
      </c>
      <c r="O90" s="6">
        <v>-258000</v>
      </c>
      <c r="P90" s="6">
        <v>20322000</v>
      </c>
      <c r="Q90" s="6">
        <v>13673000</v>
      </c>
      <c r="R90" s="6">
        <v>10771000</v>
      </c>
      <c r="S90" s="6">
        <v>13604000</v>
      </c>
      <c r="T90" s="6">
        <v>12814000</v>
      </c>
      <c r="U90" s="6">
        <v>5587000</v>
      </c>
    </row>
    <row r="91" spans="1:21" ht="15">
      <c r="A91" s="2" t="s">
        <v>180</v>
      </c>
      <c r="B91" s="5">
        <v>4097130</v>
      </c>
      <c r="C91" s="2" t="s">
        <v>181</v>
      </c>
      <c r="D91" s="6">
        <v>2957899</v>
      </c>
      <c r="E91" s="6">
        <v>1404782</v>
      </c>
      <c r="F91" s="6">
        <v>1363749</v>
      </c>
      <c r="G91" s="6">
        <v>1687869</v>
      </c>
      <c r="H91" s="6">
        <v>1673374</v>
      </c>
      <c r="I91" s="6">
        <v>1751108</v>
      </c>
      <c r="J91" s="6">
        <v>1193177</v>
      </c>
      <c r="K91" s="6">
        <v>1058267</v>
      </c>
      <c r="L91" s="6">
        <v>943662</v>
      </c>
      <c r="M91" s="6">
        <v>792848</v>
      </c>
      <c r="N91" s="6">
        <v>714537</v>
      </c>
      <c r="O91" s="6">
        <v>647818</v>
      </c>
      <c r="P91" s="6">
        <v>15940899</v>
      </c>
      <c r="Q91" s="6">
        <v>14862913</v>
      </c>
      <c r="R91" s="6">
        <v>15094475</v>
      </c>
      <c r="S91" s="6">
        <v>12952594</v>
      </c>
      <c r="T91" s="6">
        <v>8707189</v>
      </c>
      <c r="U91" s="6">
        <v>9175296</v>
      </c>
    </row>
    <row r="92" spans="1:21" ht="15">
      <c r="A92" s="2" t="s">
        <v>182</v>
      </c>
      <c r="B92" s="5">
        <v>114523</v>
      </c>
      <c r="C92" s="2" t="s">
        <v>183</v>
      </c>
      <c r="D92" s="6">
        <v>44058000</v>
      </c>
      <c r="E92" s="6">
        <v>37788000</v>
      </c>
      <c r="F92" s="6">
        <v>38431000</v>
      </c>
      <c r="G92" s="6">
        <v>37572000</v>
      </c>
      <c r="H92" s="6">
        <v>38452000</v>
      </c>
      <c r="I92" s="6">
        <v>39011000</v>
      </c>
      <c r="J92" s="6">
        <v>13961000</v>
      </c>
      <c r="K92" s="6">
        <v>15716000</v>
      </c>
      <c r="L92" s="6">
        <v>15812000</v>
      </c>
      <c r="M92" s="6">
        <v>11975000</v>
      </c>
      <c r="N92" s="6">
        <v>10626000</v>
      </c>
      <c r="O92" s="6">
        <v>7267000</v>
      </c>
      <c r="P92" s="6">
        <v>67589000</v>
      </c>
      <c r="Q92" s="6">
        <v>64809000</v>
      </c>
      <c r="R92" s="6">
        <v>67060000</v>
      </c>
      <c r="S92" s="6">
        <v>59427000</v>
      </c>
      <c r="T92" s="6">
        <v>50971000</v>
      </c>
      <c r="U92" s="6">
        <v>41748000</v>
      </c>
    </row>
    <row r="93" spans="1:21" ht="15">
      <c r="A93" s="2" t="s">
        <v>184</v>
      </c>
      <c r="B93" s="5">
        <v>4253262</v>
      </c>
      <c r="C93" s="2" t="s">
        <v>185</v>
      </c>
      <c r="D93" s="6">
        <v>1590700</v>
      </c>
      <c r="E93" s="6">
        <v>1348500</v>
      </c>
      <c r="F93" s="6">
        <v>1444100</v>
      </c>
      <c r="G93" s="6">
        <v>1871300</v>
      </c>
      <c r="H93" s="6">
        <v>1610800</v>
      </c>
      <c r="I93" s="6">
        <v>1599300</v>
      </c>
      <c r="J93" s="6">
        <v>1633300</v>
      </c>
      <c r="K93" s="6">
        <v>1307600</v>
      </c>
      <c r="L93" s="6">
        <v>1200500</v>
      </c>
      <c r="M93" s="6">
        <v>1124800</v>
      </c>
      <c r="N93" s="6">
        <v>978900</v>
      </c>
      <c r="O93" s="6">
        <v>865700</v>
      </c>
      <c r="P93" s="6">
        <v>4714200</v>
      </c>
      <c r="Q93" s="6">
        <v>4094500</v>
      </c>
      <c r="R93" s="6">
        <v>3773500</v>
      </c>
      <c r="S93" s="6">
        <v>3958500</v>
      </c>
      <c r="T93" s="6">
        <v>3494800</v>
      </c>
      <c r="U93" s="6">
        <v>3427100</v>
      </c>
    </row>
    <row r="94" spans="1:21" ht="15">
      <c r="A94" s="2" t="s">
        <v>186</v>
      </c>
      <c r="B94" s="5">
        <v>4025774</v>
      </c>
      <c r="C94" s="2" t="s">
        <v>187</v>
      </c>
      <c r="D94" s="6">
        <v>10227000</v>
      </c>
      <c r="E94" s="6">
        <v>4214510</v>
      </c>
      <c r="F94" s="6">
        <v>4308587</v>
      </c>
      <c r="G94" s="6">
        <v>3584000</v>
      </c>
      <c r="H94" s="6">
        <v>4934000</v>
      </c>
      <c r="I94" s="6">
        <v>5859000</v>
      </c>
      <c r="J94" s="6">
        <v>2222000</v>
      </c>
      <c r="K94" s="6">
        <v>2140000</v>
      </c>
      <c r="L94" s="6">
        <v>1880000</v>
      </c>
      <c r="M94" s="6">
        <v>2030000</v>
      </c>
      <c r="N94" s="6">
        <v>2092000</v>
      </c>
      <c r="O94" s="6">
        <v>1627470</v>
      </c>
      <c r="P94" s="6">
        <v>40550000</v>
      </c>
      <c r="Q94" s="6">
        <v>35767000</v>
      </c>
      <c r="R94" s="6">
        <v>31949000</v>
      </c>
      <c r="S94" s="6">
        <v>30828000</v>
      </c>
      <c r="T94" s="6">
        <v>27746000</v>
      </c>
      <c r="U94" s="6">
        <v>23826195</v>
      </c>
    </row>
    <row r="95" spans="1:21" ht="15">
      <c r="A95" s="2" t="s">
        <v>188</v>
      </c>
      <c r="B95" s="5">
        <v>4114659</v>
      </c>
      <c r="C95" s="2" t="s">
        <v>189</v>
      </c>
      <c r="D95" s="6">
        <v>6173100</v>
      </c>
      <c r="E95" s="6">
        <v>4646400</v>
      </c>
      <c r="F95" s="6">
        <v>7522700</v>
      </c>
      <c r="G95" s="6">
        <v>6648800</v>
      </c>
      <c r="H95" s="6">
        <v>6273800</v>
      </c>
      <c r="I95" s="6">
        <v>6379300</v>
      </c>
      <c r="J95" s="6">
        <v>1967400</v>
      </c>
      <c r="K95" s="6">
        <v>1952000</v>
      </c>
      <c r="L95" s="6">
        <v>1951600</v>
      </c>
      <c r="M95" s="6">
        <v>2025800</v>
      </c>
      <c r="N95" s="6">
        <v>1645200</v>
      </c>
      <c r="O95" s="6">
        <v>1604800</v>
      </c>
      <c r="P95" s="6">
        <v>22424100</v>
      </c>
      <c r="Q95" s="6">
        <v>20998700</v>
      </c>
      <c r="R95" s="6">
        <v>21376000</v>
      </c>
      <c r="S95" s="6">
        <v>23748700</v>
      </c>
      <c r="T95" s="6">
        <v>20820800</v>
      </c>
      <c r="U95" s="6">
        <v>18467500</v>
      </c>
    </row>
    <row r="96" spans="1:21" ht="15">
      <c r="A96" s="2" t="s">
        <v>190</v>
      </c>
      <c r="B96" s="5">
        <v>4022647</v>
      </c>
      <c r="C96" s="2" t="s">
        <v>191</v>
      </c>
      <c r="D96" s="6">
        <v>9331176</v>
      </c>
      <c r="E96" s="6">
        <v>4597614</v>
      </c>
      <c r="F96" s="6">
        <v>7805431</v>
      </c>
      <c r="G96" s="6">
        <v>6725305</v>
      </c>
      <c r="H96" s="6">
        <v>5894166</v>
      </c>
      <c r="I96" s="6">
        <v>5622821</v>
      </c>
      <c r="J96" s="6">
        <v>4755494</v>
      </c>
      <c r="K96" s="6">
        <v>4097719</v>
      </c>
      <c r="L96" s="6">
        <v>3418906</v>
      </c>
      <c r="M96" s="6">
        <v>3449653</v>
      </c>
      <c r="N96" s="6">
        <v>3180072</v>
      </c>
      <c r="O96" s="6">
        <v>2438704</v>
      </c>
      <c r="P96" s="6">
        <v>321332819</v>
      </c>
      <c r="Q96" s="6">
        <v>293958599</v>
      </c>
      <c r="R96" s="6">
        <v>262173411</v>
      </c>
      <c r="S96" s="6">
        <v>238587006</v>
      </c>
      <c r="T96" s="6">
        <v>213988843</v>
      </c>
      <c r="U96" s="6">
        <v>189893926</v>
      </c>
    </row>
    <row r="97" spans="1:21" ht="15">
      <c r="A97" s="2" t="s">
        <v>192</v>
      </c>
      <c r="B97" s="5">
        <v>4022661</v>
      </c>
      <c r="C97" s="2" t="s">
        <v>193</v>
      </c>
      <c r="D97" s="6">
        <v>18162000</v>
      </c>
      <c r="E97" s="6">
        <v>18317000</v>
      </c>
      <c r="F97" s="6">
        <v>22661000</v>
      </c>
      <c r="G97" s="6">
        <v>21333000</v>
      </c>
      <c r="H97" s="6">
        <v>18877000</v>
      </c>
      <c r="I97" s="6">
        <v>19429000</v>
      </c>
      <c r="J97" s="6">
        <v>2561000</v>
      </c>
      <c r="K97" s="6">
        <v>6164000</v>
      </c>
      <c r="L97" s="6">
        <v>6206000</v>
      </c>
      <c r="M97" s="6">
        <v>5809000</v>
      </c>
      <c r="N97" s="6">
        <v>5413000</v>
      </c>
      <c r="O97" s="6">
        <v>5473000</v>
      </c>
      <c r="P97" s="6">
        <v>176151000</v>
      </c>
      <c r="Q97" s="6">
        <v>147145000</v>
      </c>
      <c r="R97" s="6">
        <v>141393000</v>
      </c>
      <c r="S97" s="6">
        <v>135999000</v>
      </c>
      <c r="T97" s="6">
        <v>118573000</v>
      </c>
      <c r="U97" s="6">
        <v>104280000</v>
      </c>
    </row>
    <row r="98" spans="1:21" ht="15">
      <c r="A98" s="2" t="s">
        <v>194</v>
      </c>
      <c r="B98" s="5">
        <v>4074390</v>
      </c>
      <c r="C98" s="2" t="s">
        <v>195</v>
      </c>
      <c r="D98" s="6">
        <v>23042000</v>
      </c>
      <c r="E98" s="6">
        <v>13492000</v>
      </c>
      <c r="F98" s="6">
        <v>16140000</v>
      </c>
      <c r="G98" s="6">
        <v>16875000</v>
      </c>
      <c r="H98" s="6">
        <v>18631000</v>
      </c>
      <c r="I98" s="6">
        <v>20991000</v>
      </c>
      <c r="J98" s="6">
        <v>3593000</v>
      </c>
      <c r="K98" s="6">
        <v>3316000</v>
      </c>
      <c r="L98" s="6">
        <v>2972000</v>
      </c>
      <c r="M98" s="6">
        <v>2649000</v>
      </c>
      <c r="N98" s="6">
        <v>2473000</v>
      </c>
      <c r="O98" s="6">
        <v>2252000</v>
      </c>
      <c r="P98" s="6">
        <v>9357000</v>
      </c>
      <c r="Q98" s="6">
        <v>8643000</v>
      </c>
      <c r="R98" s="6">
        <v>8696000</v>
      </c>
      <c r="S98" s="6">
        <v>9321000</v>
      </c>
      <c r="T98" s="6">
        <v>8352000</v>
      </c>
      <c r="U98" s="6">
        <v>7418000</v>
      </c>
    </row>
    <row r="99" spans="1:21" ht="15">
      <c r="A99" s="2" t="s">
        <v>196</v>
      </c>
      <c r="B99" s="5">
        <v>4533245</v>
      </c>
      <c r="C99" s="2" t="s">
        <v>197</v>
      </c>
      <c r="D99" s="6">
        <v>3636000</v>
      </c>
      <c r="E99" s="6">
        <v>4223000</v>
      </c>
      <c r="F99" s="6">
        <v>3716000</v>
      </c>
      <c r="G99" s="6">
        <v>3225000</v>
      </c>
      <c r="H99" s="6">
        <v>3232000</v>
      </c>
      <c r="I99" s="6">
        <v>3246000</v>
      </c>
      <c r="J99" s="6">
        <v>3240000</v>
      </c>
      <c r="K99" s="6">
        <v>2650000</v>
      </c>
      <c r="L99" s="6">
        <v>3132000</v>
      </c>
      <c r="M99" s="6">
        <v>6421000</v>
      </c>
      <c r="N99" s="6">
        <v>3068000</v>
      </c>
      <c r="O99" s="6">
        <v>1488000</v>
      </c>
      <c r="P99" s="6">
        <v>7084000</v>
      </c>
      <c r="Q99" s="6">
        <v>5936000</v>
      </c>
      <c r="R99" s="6">
        <v>6631000</v>
      </c>
      <c r="S99" s="6">
        <v>11186000</v>
      </c>
      <c r="T99" s="6">
        <v>6538000</v>
      </c>
      <c r="U99" s="6">
        <v>4124000</v>
      </c>
    </row>
    <row r="100" spans="1:21" ht="15">
      <c r="A100" s="2" t="s">
        <v>198</v>
      </c>
      <c r="B100" s="5">
        <v>4388431</v>
      </c>
      <c r="C100" s="2" t="s">
        <v>199</v>
      </c>
      <c r="D100" s="6">
        <v>2631465</v>
      </c>
      <c r="E100" s="6">
        <v>2160054</v>
      </c>
      <c r="F100" s="6">
        <v>2952598</v>
      </c>
      <c r="G100" s="6">
        <v>3149002</v>
      </c>
      <c r="H100" s="6">
        <v>3126859</v>
      </c>
      <c r="I100" s="6">
        <v>2781082</v>
      </c>
      <c r="J100" s="6">
        <v>876574</v>
      </c>
      <c r="K100" s="6">
        <v>870497</v>
      </c>
      <c r="L100" s="6">
        <v>963015</v>
      </c>
      <c r="M100" s="6">
        <v>969377</v>
      </c>
      <c r="N100" s="6">
        <v>899926</v>
      </c>
      <c r="O100" s="6">
        <v>673999</v>
      </c>
      <c r="P100" s="6">
        <v>4015382</v>
      </c>
      <c r="Q100" s="6">
        <v>4049989</v>
      </c>
      <c r="R100" s="6">
        <v>4129409</v>
      </c>
      <c r="S100" s="6">
        <v>3976060</v>
      </c>
      <c r="T100" s="6">
        <v>3540160</v>
      </c>
      <c r="U100" s="6">
        <v>2923933</v>
      </c>
    </row>
    <row r="101" spans="1:21" ht="15">
      <c r="A101" s="2" t="s">
        <v>200</v>
      </c>
      <c r="B101" s="5">
        <v>4121481</v>
      </c>
      <c r="C101" s="2" t="s">
        <v>201</v>
      </c>
      <c r="D101" s="6">
        <v>98969000</v>
      </c>
      <c r="E101" s="6">
        <v>84160000</v>
      </c>
      <c r="F101" s="6">
        <v>93012000</v>
      </c>
      <c r="G101" s="6">
        <v>98981000</v>
      </c>
      <c r="H101" s="6">
        <v>99620000</v>
      </c>
      <c r="I101" s="6">
        <v>97680000</v>
      </c>
      <c r="J101" s="6">
        <v>22058000</v>
      </c>
      <c r="K101" s="6">
        <v>21895000</v>
      </c>
      <c r="L101" s="6">
        <v>20986000</v>
      </c>
      <c r="M101" s="6">
        <v>21400000</v>
      </c>
      <c r="N101" s="6">
        <v>20505000</v>
      </c>
      <c r="O101" s="6">
        <v>18101000</v>
      </c>
      <c r="P101" s="6">
        <v>54774000</v>
      </c>
      <c r="Q101" s="6">
        <v>55085000</v>
      </c>
      <c r="R101" s="6">
        <v>54607000</v>
      </c>
      <c r="S101" s="6">
        <v>54022000</v>
      </c>
      <c r="T101" s="6">
        <v>51682000</v>
      </c>
      <c r="U101" s="6">
        <v>48097000</v>
      </c>
    </row>
    <row r="102" spans="1:21" ht="15">
      <c r="A102" s="2" t="s">
        <v>202</v>
      </c>
      <c r="B102" s="5">
        <v>4004170</v>
      </c>
      <c r="C102" s="2" t="s">
        <v>203</v>
      </c>
      <c r="D102" s="6">
        <v>46743000</v>
      </c>
      <c r="E102" s="6">
        <v>48221000</v>
      </c>
      <c r="F102" s="6">
        <v>34872000</v>
      </c>
      <c r="G102" s="6">
        <v>27370000</v>
      </c>
      <c r="H102" s="6">
        <v>26070000</v>
      </c>
      <c r="I102" s="6">
        <v>29611000</v>
      </c>
      <c r="J102" s="6">
        <v>37631000</v>
      </c>
      <c r="K102" s="6">
        <v>39101000</v>
      </c>
      <c r="L102" s="6">
        <v>42177000</v>
      </c>
      <c r="M102" s="6">
        <v>57447000</v>
      </c>
      <c r="N102" s="6">
        <v>33632000</v>
      </c>
      <c r="O102" s="6">
        <v>13131000</v>
      </c>
      <c r="P102" s="6">
        <v>184654000</v>
      </c>
      <c r="Q102" s="6">
        <v>195568000</v>
      </c>
      <c r="R102" s="6">
        <v>194799000</v>
      </c>
      <c r="S102" s="6">
        <v>235916000</v>
      </c>
      <c r="T102" s="6">
        <v>155067000</v>
      </c>
      <c r="U102" s="6">
        <v>94005000</v>
      </c>
    </row>
    <row r="103" spans="1:21" ht="15">
      <c r="A103" s="2" t="s">
        <v>204</v>
      </c>
      <c r="B103" s="5">
        <v>4225889</v>
      </c>
      <c r="C103" s="2" t="s">
        <v>205</v>
      </c>
      <c r="D103" s="6">
        <v>5075814</v>
      </c>
      <c r="E103" s="6">
        <v>3157052</v>
      </c>
      <c r="F103" s="6">
        <v>3520314</v>
      </c>
      <c r="G103" s="6">
        <v>3731410</v>
      </c>
      <c r="H103" s="6">
        <v>4051625</v>
      </c>
      <c r="I103" s="6">
        <v>4540618</v>
      </c>
      <c r="J103" s="6">
        <v>2381942</v>
      </c>
      <c r="K103" s="6">
        <v>2295392</v>
      </c>
      <c r="L103" s="6">
        <v>1915577</v>
      </c>
      <c r="M103" s="6">
        <v>1468368</v>
      </c>
      <c r="N103" s="6">
        <v>1078891</v>
      </c>
      <c r="O103" s="6">
        <v>559275</v>
      </c>
      <c r="P103" s="6">
        <v>11925601</v>
      </c>
      <c r="Q103" s="6">
        <v>11313853</v>
      </c>
      <c r="R103" s="6">
        <v>9871649</v>
      </c>
      <c r="S103" s="6">
        <v>8634652</v>
      </c>
      <c r="T103" s="6">
        <v>7547061</v>
      </c>
      <c r="U103" s="6">
        <v>5984634</v>
      </c>
    </row>
    <row r="104" spans="1:21" ht="15">
      <c r="A104" s="2" t="s">
        <v>206</v>
      </c>
      <c r="B104" s="5">
        <v>103417</v>
      </c>
      <c r="C104" s="2" t="s">
        <v>207</v>
      </c>
      <c r="D104" s="6">
        <v>24687000</v>
      </c>
      <c r="E104" s="6">
        <v>19022000</v>
      </c>
      <c r="F104" s="6">
        <v>20197000</v>
      </c>
      <c r="G104" s="6">
        <v>18760000</v>
      </c>
      <c r="H104" s="6">
        <v>19767000</v>
      </c>
      <c r="I104" s="6">
        <v>20716000</v>
      </c>
      <c r="J104" s="6">
        <v>13268000</v>
      </c>
      <c r="K104" s="6">
        <v>11814000</v>
      </c>
      <c r="L104" s="6">
        <v>9758000</v>
      </c>
      <c r="M104" s="6">
        <v>6990000</v>
      </c>
      <c r="N104" s="6">
        <v>7798000</v>
      </c>
      <c r="O104" s="6">
        <v>4432000</v>
      </c>
      <c r="P104" s="6">
        <v>59625000</v>
      </c>
      <c r="Q104" s="6">
        <v>55976000</v>
      </c>
      <c r="R104" s="6">
        <v>49783000</v>
      </c>
      <c r="S104" s="6">
        <v>42700000</v>
      </c>
      <c r="T104" s="6">
        <v>40529000</v>
      </c>
      <c r="U104" s="6">
        <v>36535000</v>
      </c>
    </row>
    <row r="105" spans="1:21" ht="15">
      <c r="A105" s="2" t="s">
        <v>208</v>
      </c>
      <c r="B105" s="5">
        <v>4438978</v>
      </c>
      <c r="C105" s="2" t="s">
        <v>209</v>
      </c>
      <c r="D105" s="6">
        <v>2382000</v>
      </c>
      <c r="E105" s="6">
        <v>2357200</v>
      </c>
      <c r="F105" s="6">
        <v>2775500</v>
      </c>
      <c r="G105" s="6">
        <v>2847300</v>
      </c>
      <c r="H105" s="6">
        <v>2605600</v>
      </c>
      <c r="I105" s="6">
        <v>2405500</v>
      </c>
      <c r="J105" s="6">
        <v>1382400</v>
      </c>
      <c r="K105" s="6">
        <v>1392700</v>
      </c>
      <c r="L105" s="6">
        <v>1287500</v>
      </c>
      <c r="M105" s="6">
        <v>1203800</v>
      </c>
      <c r="N105" s="6">
        <v>1186100</v>
      </c>
      <c r="O105" s="6">
        <v>1105300</v>
      </c>
      <c r="P105" s="6">
        <v>6203200</v>
      </c>
      <c r="Q105" s="6">
        <v>6107100</v>
      </c>
      <c r="R105" s="6">
        <v>5867900</v>
      </c>
      <c r="S105" s="6">
        <v>5375600</v>
      </c>
      <c r="T105" s="6">
        <v>5190100</v>
      </c>
      <c r="U105" s="6">
        <v>4895800</v>
      </c>
    </row>
    <row r="106" spans="1:21" ht="15">
      <c r="A106" s="2" t="s">
        <v>210</v>
      </c>
      <c r="B106" s="5">
        <v>4067589</v>
      </c>
      <c r="C106" s="2" t="s">
        <v>211</v>
      </c>
      <c r="D106" s="6">
        <v>1626899</v>
      </c>
      <c r="E106" s="6">
        <v>856650</v>
      </c>
      <c r="F106" s="6">
        <v>819612</v>
      </c>
      <c r="G106" s="6">
        <v>1186306</v>
      </c>
      <c r="H106" s="6">
        <v>1657165</v>
      </c>
      <c r="I106" s="6">
        <v>1632253</v>
      </c>
      <c r="J106" s="6">
        <v>451130</v>
      </c>
      <c r="K106" s="6">
        <v>324679</v>
      </c>
      <c r="L106" s="6">
        <v>527033</v>
      </c>
      <c r="M106" s="6">
        <v>397433</v>
      </c>
      <c r="N106" s="6">
        <v>618479</v>
      </c>
      <c r="O106" s="6">
        <v>646174</v>
      </c>
      <c r="P106" s="6">
        <v>4769507</v>
      </c>
      <c r="Q106" s="6">
        <v>4014955</v>
      </c>
      <c r="R106" s="6">
        <v>4386549</v>
      </c>
      <c r="S106" s="6">
        <v>3632661</v>
      </c>
      <c r="T106" s="6">
        <v>3620684</v>
      </c>
      <c r="U106" s="6">
        <v>3532157</v>
      </c>
    </row>
    <row r="107" spans="1:21" ht="15">
      <c r="A107" s="2" t="s">
        <v>212</v>
      </c>
      <c r="B107" s="5">
        <v>103262</v>
      </c>
      <c r="C107" s="2" t="s">
        <v>213</v>
      </c>
      <c r="D107" s="6">
        <v>886000</v>
      </c>
      <c r="E107" s="6">
        <v>899000</v>
      </c>
      <c r="F107" s="6">
        <v>897000</v>
      </c>
      <c r="G107" s="6">
        <v>891000</v>
      </c>
      <c r="H107" s="6">
        <v>874000</v>
      </c>
      <c r="I107" s="6">
        <v>875000</v>
      </c>
      <c r="J107" s="6">
        <v>3201000</v>
      </c>
      <c r="K107" s="6">
        <v>3041000</v>
      </c>
      <c r="L107" s="6">
        <v>2442000</v>
      </c>
      <c r="M107" s="6">
        <v>-514000</v>
      </c>
      <c r="N107" s="6">
        <v>3869000</v>
      </c>
      <c r="O107" s="6">
        <v>1662000</v>
      </c>
      <c r="P107" s="6">
        <v>12631000</v>
      </c>
      <c r="Q107" s="6">
        <v>11337000</v>
      </c>
      <c r="R107" s="6">
        <v>10013000</v>
      </c>
      <c r="S107" s="6">
        <v>6563000</v>
      </c>
      <c r="T107" s="6">
        <v>9626000</v>
      </c>
      <c r="U107" s="6">
        <v>7536000</v>
      </c>
    </row>
    <row r="108" spans="1:21" ht="15">
      <c r="A108" s="2" t="s">
        <v>214</v>
      </c>
      <c r="B108" s="5">
        <v>4008247</v>
      </c>
      <c r="C108" s="2" t="s">
        <v>215</v>
      </c>
      <c r="D108" s="6">
        <v>2654481</v>
      </c>
      <c r="E108" s="6">
        <v>2871117</v>
      </c>
      <c r="F108" s="6">
        <v>2778094</v>
      </c>
      <c r="G108" s="6">
        <v>2968442</v>
      </c>
      <c r="H108" s="6">
        <v>2668393</v>
      </c>
      <c r="I108" s="6">
        <v>2668080</v>
      </c>
      <c r="J108" s="6">
        <v>2716809</v>
      </c>
      <c r="K108" s="6">
        <v>2412503</v>
      </c>
      <c r="L108" s="6">
        <v>2102708</v>
      </c>
      <c r="M108" s="6">
        <v>1876171</v>
      </c>
      <c r="N108" s="6">
        <v>1673157</v>
      </c>
      <c r="O108" s="6">
        <v>1451669</v>
      </c>
      <c r="P108" s="6">
        <v>10340181</v>
      </c>
      <c r="Q108" s="6">
        <v>9596615</v>
      </c>
      <c r="R108" s="6">
        <v>8815769</v>
      </c>
      <c r="S108" s="6">
        <v>7854459</v>
      </c>
      <c r="T108" s="6">
        <v>7116340</v>
      </c>
      <c r="U108" s="6">
        <v>7085120</v>
      </c>
    </row>
    <row r="109" spans="1:21" ht="15">
      <c r="A109" s="2" t="s">
        <v>216</v>
      </c>
      <c r="B109" s="5">
        <v>4047857</v>
      </c>
      <c r="C109" s="2" t="s">
        <v>217</v>
      </c>
      <c r="D109" s="6">
        <v>29643000</v>
      </c>
      <c r="E109" s="6">
        <v>15585000</v>
      </c>
      <c r="F109" s="6">
        <v>12694000</v>
      </c>
      <c r="G109" s="6">
        <v>10571000</v>
      </c>
      <c r="H109" s="6">
        <v>9452000</v>
      </c>
      <c r="I109" s="6">
        <v>32243000</v>
      </c>
      <c r="J109" s="6">
        <v>15378000</v>
      </c>
      <c r="K109" s="6">
        <v>15282000</v>
      </c>
      <c r="L109" s="6">
        <v>17219000</v>
      </c>
      <c r="M109" s="6">
        <v>15901000</v>
      </c>
      <c r="N109" s="6">
        <v>15496000</v>
      </c>
      <c r="O109" s="6">
        <v>15822000</v>
      </c>
      <c r="P109" s="6">
        <v>56654000</v>
      </c>
      <c r="Q109" s="6">
        <v>53803000</v>
      </c>
      <c r="R109" s="6">
        <v>56998000</v>
      </c>
      <c r="S109" s="6">
        <v>51557000</v>
      </c>
      <c r="T109" s="6">
        <v>49818000</v>
      </c>
      <c r="U109" s="6">
        <v>49301000</v>
      </c>
    </row>
    <row r="110" spans="1:21" ht="15">
      <c r="A110" s="2" t="s">
        <v>218</v>
      </c>
      <c r="B110" s="5">
        <v>4041896</v>
      </c>
      <c r="C110" s="2" t="s">
        <v>219</v>
      </c>
      <c r="D110" s="6">
        <v>777180000</v>
      </c>
      <c r="E110" s="6">
        <v>571782000</v>
      </c>
      <c r="F110" s="6">
        <v>532264000</v>
      </c>
      <c r="G110" s="6">
        <v>584138000</v>
      </c>
      <c r="H110" s="6">
        <v>655836000</v>
      </c>
      <c r="I110" s="6">
        <v>641871000</v>
      </c>
      <c r="J110" s="7" t="s">
        <v>61</v>
      </c>
      <c r="K110" s="7" t="s">
        <v>61</v>
      </c>
      <c r="L110" s="7" t="s">
        <v>61</v>
      </c>
      <c r="M110" s="7" t="s">
        <v>61</v>
      </c>
      <c r="N110" s="7" t="s">
        <v>61</v>
      </c>
      <c r="O110" s="7" t="s">
        <v>61</v>
      </c>
      <c r="P110" s="6">
        <v>75716000</v>
      </c>
      <c r="Q110" s="6">
        <v>70946000</v>
      </c>
      <c r="R110" s="6">
        <v>70304000</v>
      </c>
      <c r="S110" s="6">
        <v>70560000</v>
      </c>
      <c r="T110" s="6">
        <v>74990000</v>
      </c>
      <c r="U110" s="6">
        <v>59572000</v>
      </c>
    </row>
    <row r="111" spans="1:21" ht="15">
      <c r="A111" s="2" t="s">
        <v>220</v>
      </c>
      <c r="B111" s="5">
        <v>1019881</v>
      </c>
      <c r="C111" s="2" t="s">
        <v>221</v>
      </c>
      <c r="D111" s="6">
        <v>13103000</v>
      </c>
      <c r="E111" s="6">
        <v>8717000</v>
      </c>
      <c r="F111" s="6">
        <v>8003000</v>
      </c>
      <c r="G111" s="6">
        <v>18865000</v>
      </c>
      <c r="H111" s="6">
        <v>16511000</v>
      </c>
      <c r="I111" s="6">
        <v>14577000</v>
      </c>
      <c r="J111" s="7" t="s">
        <v>61</v>
      </c>
      <c r="K111" s="7" t="s">
        <v>61</v>
      </c>
      <c r="L111" s="7" t="s">
        <v>61</v>
      </c>
      <c r="M111" s="7" t="s">
        <v>61</v>
      </c>
      <c r="N111" s="7" t="s">
        <v>61</v>
      </c>
      <c r="O111" s="7" t="s">
        <v>61</v>
      </c>
      <c r="P111" s="6">
        <v>7639000</v>
      </c>
      <c r="Q111" s="6">
        <v>7122000</v>
      </c>
      <c r="R111" s="6">
        <v>7537000</v>
      </c>
      <c r="S111" s="6">
        <v>7547000</v>
      </c>
      <c r="T111" s="6">
        <v>7058000</v>
      </c>
      <c r="U111" s="6">
        <v>5289000</v>
      </c>
    </row>
    <row r="112" spans="1:21" ht="15">
      <c r="A112" s="2" t="s">
        <v>222</v>
      </c>
      <c r="B112" s="5">
        <v>4054016</v>
      </c>
      <c r="C112" s="2" t="s">
        <v>223</v>
      </c>
      <c r="D112" s="6">
        <v>3757200</v>
      </c>
      <c r="E112" s="6">
        <v>4072000</v>
      </c>
      <c r="F112" s="6">
        <v>4025600</v>
      </c>
      <c r="G112" s="6">
        <v>3947800</v>
      </c>
      <c r="H112" s="6">
        <v>3883900</v>
      </c>
      <c r="I112" s="6">
        <v>3821400</v>
      </c>
      <c r="J112" s="6">
        <v>4590000</v>
      </c>
      <c r="K112" s="6">
        <v>4273500</v>
      </c>
      <c r="L112" s="6">
        <v>3810900</v>
      </c>
      <c r="M112" s="6">
        <v>3365300</v>
      </c>
      <c r="N112" s="6">
        <v>2989900</v>
      </c>
      <c r="O112" s="6">
        <v>3137800</v>
      </c>
      <c r="P112" s="6">
        <v>6506800</v>
      </c>
      <c r="Q112" s="6">
        <v>6120300</v>
      </c>
      <c r="R112" s="6">
        <v>5578900</v>
      </c>
      <c r="S112" s="6">
        <v>5019400</v>
      </c>
      <c r="T112" s="6">
        <v>4689700</v>
      </c>
      <c r="U112" s="6">
        <v>4883600</v>
      </c>
    </row>
    <row r="113" spans="1:21" ht="15">
      <c r="A113" s="2" t="s">
        <v>224</v>
      </c>
      <c r="B113" s="5">
        <v>4004172</v>
      </c>
      <c r="C113" s="2" t="s">
        <v>225</v>
      </c>
      <c r="D113" s="6">
        <v>18923000</v>
      </c>
      <c r="E113" s="6">
        <v>12423000</v>
      </c>
      <c r="F113" s="6">
        <v>12502000</v>
      </c>
      <c r="G113" s="6">
        <v>14340000</v>
      </c>
      <c r="H113" s="6">
        <v>15669000</v>
      </c>
      <c r="I113" s="6">
        <v>16590000</v>
      </c>
      <c r="J113" s="6">
        <v>3019000</v>
      </c>
      <c r="K113" s="6">
        <v>2702000</v>
      </c>
      <c r="L113" s="6">
        <v>2470000</v>
      </c>
      <c r="M113" s="6">
        <v>2424000</v>
      </c>
      <c r="N113" s="6">
        <v>2290000</v>
      </c>
      <c r="O113" s="6">
        <v>2253000</v>
      </c>
      <c r="P113" s="6">
        <v>8539000</v>
      </c>
      <c r="Q113" s="6">
        <v>7515000</v>
      </c>
      <c r="R113" s="6">
        <v>7462000</v>
      </c>
      <c r="S113" s="6">
        <v>8596000</v>
      </c>
      <c r="T113" s="6">
        <v>7329000</v>
      </c>
      <c r="U113" s="6">
        <v>6418000</v>
      </c>
    </row>
    <row r="114" spans="1:21" ht="15">
      <c r="A114" s="2" t="s">
        <v>226</v>
      </c>
      <c r="B114" s="5">
        <v>4222286</v>
      </c>
      <c r="C114" s="2" t="s">
        <v>227</v>
      </c>
      <c r="D114" s="6">
        <v>1174000</v>
      </c>
      <c r="E114" s="6">
        <v>1780000</v>
      </c>
      <c r="F114" s="6">
        <v>1655000</v>
      </c>
      <c r="G114" s="6">
        <v>1547000</v>
      </c>
      <c r="H114" s="6">
        <v>1339000</v>
      </c>
      <c r="I114" s="6">
        <v>1503000</v>
      </c>
      <c r="J114" s="6">
        <v>3834000</v>
      </c>
      <c r="K114" s="6">
        <v>3519000</v>
      </c>
      <c r="L114" s="6">
        <v>3400000</v>
      </c>
      <c r="M114" s="6">
        <v>3500000</v>
      </c>
      <c r="N114" s="6">
        <v>3367000</v>
      </c>
      <c r="O114" s="6">
        <v>2858000</v>
      </c>
      <c r="P114" s="6">
        <v>21108000</v>
      </c>
      <c r="Q114" s="6">
        <v>19736000</v>
      </c>
      <c r="R114" s="6">
        <v>19353000</v>
      </c>
      <c r="S114" s="6">
        <v>19428000</v>
      </c>
      <c r="T114" s="6">
        <v>18507000</v>
      </c>
      <c r="U114" s="6">
        <v>16652000</v>
      </c>
    </row>
    <row r="115" spans="1:21" ht="15">
      <c r="A115" s="2" t="s">
        <v>228</v>
      </c>
      <c r="B115" s="5">
        <v>4964205</v>
      </c>
      <c r="C115" s="2" t="s">
        <v>229</v>
      </c>
      <c r="D115" s="6">
        <v>3909792</v>
      </c>
      <c r="E115" s="6">
        <v>2374677</v>
      </c>
      <c r="F115" s="6">
        <v>1526040</v>
      </c>
      <c r="G115" s="6">
        <v>2438214</v>
      </c>
      <c r="H115" s="6">
        <v>4488817</v>
      </c>
      <c r="I115" s="6">
        <v>4303153</v>
      </c>
      <c r="J115" s="6">
        <v>1105545</v>
      </c>
      <c r="K115" s="6">
        <v>682936</v>
      </c>
      <c r="L115" s="6">
        <v>961668</v>
      </c>
      <c r="M115" s="6">
        <v>701073</v>
      </c>
      <c r="N115" s="6">
        <v>672188</v>
      </c>
      <c r="O115" s="6">
        <v>348061</v>
      </c>
      <c r="P115" s="6">
        <v>5810115</v>
      </c>
      <c r="Q115" s="6">
        <v>4707688</v>
      </c>
      <c r="R115" s="6">
        <v>5160100</v>
      </c>
      <c r="S115" s="6">
        <v>3316616</v>
      </c>
      <c r="T115" s="6">
        <v>3105891</v>
      </c>
      <c r="U115" s="6">
        <v>2380071</v>
      </c>
    </row>
    <row r="116" spans="1:21" ht="15">
      <c r="A116" s="2" t="s">
        <v>230</v>
      </c>
      <c r="B116" s="5">
        <v>12805289</v>
      </c>
      <c r="C116" s="2" t="s">
        <v>231</v>
      </c>
      <c r="D116" s="6">
        <v>7857989</v>
      </c>
      <c r="E116" s="6">
        <v>379081</v>
      </c>
      <c r="F116" s="6">
        <v>3937964</v>
      </c>
      <c r="G116" s="6">
        <v>3641250</v>
      </c>
      <c r="H116" s="6">
        <v>3046758</v>
      </c>
      <c r="I116" s="6">
        <v>4694138</v>
      </c>
      <c r="J116" s="6">
        <v>1671161</v>
      </c>
      <c r="K116" s="6">
        <v>2163896</v>
      </c>
      <c r="L116" s="6">
        <v>-61269</v>
      </c>
      <c r="M116" s="6">
        <v>-2560829</v>
      </c>
      <c r="N116" s="6">
        <v>3338940</v>
      </c>
      <c r="O116" s="6">
        <v>438387</v>
      </c>
      <c r="P116" s="6">
        <v>6883438</v>
      </c>
      <c r="Q116" s="6">
        <v>6293246</v>
      </c>
      <c r="R116" s="6">
        <v>2926540</v>
      </c>
      <c r="S116" s="6">
        <v>3148815</v>
      </c>
      <c r="T116" s="6">
        <v>7837303</v>
      </c>
      <c r="U116" s="6">
        <v>1274855</v>
      </c>
    </row>
    <row r="117" spans="1:21" ht="15">
      <c r="A117" s="2" t="s">
        <v>232</v>
      </c>
      <c r="B117" s="5">
        <v>4004173</v>
      </c>
      <c r="C117" s="2" t="s">
        <v>233</v>
      </c>
      <c r="D117" s="6">
        <v>8554000</v>
      </c>
      <c r="E117" s="6">
        <v>8214000</v>
      </c>
      <c r="F117" s="6">
        <v>7854000</v>
      </c>
      <c r="G117" s="6">
        <v>9271000</v>
      </c>
      <c r="H117" s="6">
        <v>9064000</v>
      </c>
      <c r="I117" s="6">
        <v>8512000</v>
      </c>
      <c r="J117" s="6">
        <v>4868000</v>
      </c>
      <c r="K117" s="6">
        <v>4855000</v>
      </c>
      <c r="L117" s="6">
        <v>4501000</v>
      </c>
      <c r="M117" s="6">
        <v>4107000</v>
      </c>
      <c r="N117" s="6">
        <v>4369000</v>
      </c>
      <c r="O117" s="6">
        <v>4327000</v>
      </c>
      <c r="P117" s="6">
        <v>20382000</v>
      </c>
      <c r="Q117" s="6">
        <v>20101000</v>
      </c>
      <c r="R117" s="6">
        <v>19457000</v>
      </c>
      <c r="S117" s="6">
        <v>17967000</v>
      </c>
      <c r="T117" s="6">
        <v>17421000</v>
      </c>
      <c r="U117" s="6">
        <v>16471000</v>
      </c>
    </row>
    <row r="118" spans="1:21" ht="15">
      <c r="A118" s="2" t="s">
        <v>234</v>
      </c>
      <c r="B118" s="5">
        <v>4057180</v>
      </c>
      <c r="C118" s="2" t="s">
        <v>235</v>
      </c>
      <c r="D118" s="6">
        <v>105033000</v>
      </c>
      <c r="E118" s="6">
        <v>113386000</v>
      </c>
      <c r="F118" s="6">
        <v>107259000</v>
      </c>
      <c r="G118" s="6">
        <v>106765000</v>
      </c>
      <c r="H118" s="6">
        <v>103676000</v>
      </c>
      <c r="I118" s="6">
        <v>105413000</v>
      </c>
      <c r="J118" s="6">
        <v>36880000</v>
      </c>
      <c r="K118" s="6">
        <v>38100000</v>
      </c>
      <c r="L118" s="6">
        <v>37649000</v>
      </c>
      <c r="M118" s="6">
        <v>36445000</v>
      </c>
      <c r="N118" s="6">
        <v>34621000</v>
      </c>
      <c r="O118" s="6">
        <v>30593000</v>
      </c>
      <c r="P118" s="6">
        <v>123707000</v>
      </c>
      <c r="Q118" s="6">
        <v>123731000</v>
      </c>
      <c r="R118" s="6">
        <v>121572000</v>
      </c>
      <c r="S118" s="6">
        <v>121427000</v>
      </c>
      <c r="T118" s="6">
        <v>116385000</v>
      </c>
      <c r="U118" s="6">
        <v>103564000</v>
      </c>
    </row>
    <row r="119" spans="1:21" ht="15">
      <c r="A119" s="2" t="s">
        <v>236</v>
      </c>
      <c r="B119" s="5">
        <v>4990366</v>
      </c>
      <c r="C119" s="2" t="s">
        <v>237</v>
      </c>
      <c r="D119" s="6">
        <v>483358</v>
      </c>
      <c r="E119" s="6">
        <v>332895</v>
      </c>
      <c r="F119" s="6">
        <v>514781</v>
      </c>
      <c r="G119" s="6">
        <v>389140</v>
      </c>
      <c r="H119" s="6">
        <v>256774</v>
      </c>
      <c r="I119" s="6">
        <v>308600</v>
      </c>
      <c r="J119" s="6">
        <v>1454574</v>
      </c>
      <c r="K119" s="6">
        <v>891824</v>
      </c>
      <c r="L119" s="6">
        <v>490352</v>
      </c>
      <c r="M119" s="6">
        <v>333611</v>
      </c>
      <c r="N119" s="6">
        <v>255842</v>
      </c>
      <c r="O119" s="6">
        <v>249835</v>
      </c>
      <c r="P119" s="6">
        <v>9101641</v>
      </c>
      <c r="Q119" s="6">
        <v>7027476</v>
      </c>
      <c r="R119" s="6">
        <v>5206760</v>
      </c>
      <c r="S119" s="6">
        <v>4140364</v>
      </c>
      <c r="T119" s="6">
        <v>3073636</v>
      </c>
      <c r="U119" s="6">
        <v>2856659</v>
      </c>
    </row>
    <row r="120" spans="1:21" ht="15">
      <c r="A120" s="2" t="s">
        <v>238</v>
      </c>
      <c r="B120" s="5">
        <v>4101861</v>
      </c>
      <c r="C120" s="2" t="s">
        <v>239</v>
      </c>
      <c r="D120" s="6">
        <v>8310600</v>
      </c>
      <c r="E120" s="6">
        <v>9997900</v>
      </c>
      <c r="F120" s="6">
        <v>9225800</v>
      </c>
      <c r="G120" s="6">
        <v>9224500</v>
      </c>
      <c r="H120" s="6">
        <v>9461300</v>
      </c>
      <c r="I120" s="6">
        <v>8647300</v>
      </c>
      <c r="J120" s="6">
        <v>2070200</v>
      </c>
      <c r="K120" s="6">
        <v>2339400</v>
      </c>
      <c r="L120" s="6">
        <v>2227000</v>
      </c>
      <c r="M120" s="6">
        <v>1997700</v>
      </c>
      <c r="N120" s="6">
        <v>2309300</v>
      </c>
      <c r="O120" s="6">
        <v>1845900</v>
      </c>
      <c r="P120" s="6">
        <v>11612800</v>
      </c>
      <c r="Q120" s="6">
        <v>12050900</v>
      </c>
      <c r="R120" s="6">
        <v>12277000</v>
      </c>
      <c r="S120" s="6">
        <v>11535900</v>
      </c>
      <c r="T120" s="6">
        <v>11184700</v>
      </c>
      <c r="U120" s="6">
        <v>11054400</v>
      </c>
    </row>
    <row r="121" spans="1:21" ht="15">
      <c r="A121" s="2" t="s">
        <v>240</v>
      </c>
      <c r="B121" s="5">
        <v>4980342</v>
      </c>
      <c r="C121" s="2" t="s">
        <v>241</v>
      </c>
      <c r="D121" s="6">
        <v>24394000</v>
      </c>
      <c r="E121" s="6">
        <v>16154000</v>
      </c>
      <c r="F121" s="6">
        <v>20601000</v>
      </c>
      <c r="G121" s="6">
        <v>17188000</v>
      </c>
      <c r="H121" s="6">
        <v>19634000</v>
      </c>
      <c r="I121" s="6">
        <v>25348000</v>
      </c>
      <c r="J121" s="6">
        <v>24161000</v>
      </c>
      <c r="K121" s="6">
        <v>24307000</v>
      </c>
      <c r="L121" s="6">
        <v>24753000</v>
      </c>
      <c r="M121" s="6">
        <v>34916000</v>
      </c>
      <c r="N121" s="6">
        <v>20274000</v>
      </c>
      <c r="O121" s="6">
        <v>4800000</v>
      </c>
      <c r="P121" s="6">
        <v>60279000</v>
      </c>
      <c r="Q121" s="6">
        <v>56450000</v>
      </c>
      <c r="R121" s="6">
        <v>57861000</v>
      </c>
      <c r="S121" s="6">
        <v>80575000</v>
      </c>
      <c r="T121" s="6">
        <v>46660000</v>
      </c>
      <c r="U121" s="6">
        <v>19216000</v>
      </c>
    </row>
    <row r="122" spans="1:21" ht="15">
      <c r="A122" s="2" t="s">
        <v>242</v>
      </c>
      <c r="B122" s="5">
        <v>4057041</v>
      </c>
      <c r="C122" s="2" t="s">
        <v>243</v>
      </c>
      <c r="D122" s="6">
        <v>28379000</v>
      </c>
      <c r="E122" s="6">
        <v>25185000</v>
      </c>
      <c r="F122" s="6">
        <v>25420000</v>
      </c>
      <c r="G122" s="6">
        <v>24415000</v>
      </c>
      <c r="H122" s="6">
        <v>25010000</v>
      </c>
      <c r="I122" s="6">
        <v>27825000</v>
      </c>
      <c r="J122" s="6">
        <v>6022000</v>
      </c>
      <c r="K122" s="6">
        <v>5438000</v>
      </c>
      <c r="L122" s="6">
        <v>5107000</v>
      </c>
      <c r="M122" s="6">
        <v>5034000</v>
      </c>
      <c r="N122" s="6">
        <v>4720000</v>
      </c>
      <c r="O122" s="6">
        <v>4371000</v>
      </c>
      <c r="P122" s="6">
        <v>16918000</v>
      </c>
      <c r="Q122" s="6">
        <v>15256000</v>
      </c>
      <c r="R122" s="6">
        <v>14663000</v>
      </c>
      <c r="S122" s="6">
        <v>15670000</v>
      </c>
      <c r="T122" s="6">
        <v>13676000</v>
      </c>
      <c r="U122" s="6">
        <v>12246000</v>
      </c>
    </row>
    <row r="123" spans="1:21" ht="15">
      <c r="A123" s="2" t="s">
        <v>244</v>
      </c>
      <c r="B123" s="5">
        <v>4276708</v>
      </c>
      <c r="C123" s="2" t="s">
        <v>245</v>
      </c>
      <c r="D123" s="6">
        <v>10568500</v>
      </c>
      <c r="E123" s="6">
        <v>10982200</v>
      </c>
      <c r="F123" s="6">
        <v>10954600</v>
      </c>
      <c r="G123" s="6">
        <v>12960100</v>
      </c>
      <c r="H123" s="6">
        <v>12557600</v>
      </c>
      <c r="I123" s="6">
        <v>12113500</v>
      </c>
      <c r="J123" s="6">
        <v>3388200</v>
      </c>
      <c r="K123" s="6">
        <v>3957000</v>
      </c>
      <c r="L123" s="6">
        <v>3616200</v>
      </c>
      <c r="M123" s="6">
        <v>3355200</v>
      </c>
      <c r="N123" s="6">
        <v>3388300</v>
      </c>
      <c r="O123" s="6">
        <v>3247600</v>
      </c>
      <c r="P123" s="6">
        <v>9139000</v>
      </c>
      <c r="Q123" s="6">
        <v>10208700</v>
      </c>
      <c r="R123" s="6">
        <v>9961800</v>
      </c>
      <c r="S123" s="6">
        <v>9452600</v>
      </c>
      <c r="T123" s="6">
        <v>8820700</v>
      </c>
      <c r="U123" s="6">
        <v>8614900</v>
      </c>
    </row>
    <row r="124" spans="1:21" ht="15">
      <c r="A124" s="2" t="s">
        <v>246</v>
      </c>
      <c r="B124" s="5">
        <v>4072145</v>
      </c>
      <c r="C124" s="2" t="s">
        <v>247</v>
      </c>
      <c r="D124" s="6">
        <v>9497000</v>
      </c>
      <c r="E124" s="6">
        <v>8119000</v>
      </c>
      <c r="F124" s="6">
        <v>8973000</v>
      </c>
      <c r="G124" s="6">
        <v>6478000</v>
      </c>
      <c r="H124" s="6">
        <v>9911000</v>
      </c>
      <c r="I124" s="6">
        <v>8995000</v>
      </c>
      <c r="J124" s="6">
        <v>5632000</v>
      </c>
      <c r="K124" s="6">
        <v>6972000</v>
      </c>
      <c r="L124" s="6">
        <v>4155000</v>
      </c>
      <c r="M124" s="6">
        <v>2921000</v>
      </c>
      <c r="N124" s="6">
        <v>3807000</v>
      </c>
      <c r="O124" s="6">
        <v>4306000</v>
      </c>
      <c r="P124" s="6">
        <v>25533000</v>
      </c>
      <c r="Q124" s="6">
        <v>23568000</v>
      </c>
      <c r="R124" s="6">
        <v>24918000</v>
      </c>
      <c r="S124" s="6">
        <v>24440000</v>
      </c>
      <c r="T124" s="6">
        <v>19649000</v>
      </c>
      <c r="U124" s="6">
        <v>17603000</v>
      </c>
    </row>
    <row r="125" spans="1:21" ht="15">
      <c r="A125" s="2" t="s">
        <v>248</v>
      </c>
      <c r="B125" s="5">
        <v>4988311</v>
      </c>
      <c r="C125" s="2" t="s">
        <v>249</v>
      </c>
      <c r="D125" s="6">
        <v>103739</v>
      </c>
      <c r="E125" s="6">
        <v>518622</v>
      </c>
      <c r="F125" s="6">
        <v>518069</v>
      </c>
      <c r="G125" s="6">
        <v>119473</v>
      </c>
      <c r="H125" s="6">
        <v>120453</v>
      </c>
      <c r="I125" s="6">
        <v>118733</v>
      </c>
      <c r="J125" s="6">
        <v>1955514</v>
      </c>
      <c r="K125" s="6">
        <v>1754323</v>
      </c>
      <c r="L125" s="6">
        <v>1638869</v>
      </c>
      <c r="M125" s="6">
        <v>1503797</v>
      </c>
      <c r="N125" s="6">
        <v>1248826</v>
      </c>
      <c r="O125" s="6">
        <v>907099</v>
      </c>
      <c r="P125" s="6">
        <v>4646958</v>
      </c>
      <c r="Q125" s="6">
        <v>4236823</v>
      </c>
      <c r="R125" s="6">
        <v>3869518</v>
      </c>
      <c r="S125" s="6">
        <v>3500921</v>
      </c>
      <c r="T125" s="6">
        <v>2692511</v>
      </c>
      <c r="U125" s="6">
        <v>2205583</v>
      </c>
    </row>
    <row r="126" spans="1:21" ht="15">
      <c r="A126" s="2" t="s">
        <v>250</v>
      </c>
      <c r="B126" s="5">
        <v>4004201</v>
      </c>
      <c r="C126" s="2" t="s">
        <v>251</v>
      </c>
      <c r="D126" s="6">
        <v>9377000</v>
      </c>
      <c r="E126" s="6">
        <v>8701000</v>
      </c>
      <c r="F126" s="6">
        <v>7829000</v>
      </c>
      <c r="G126" s="6">
        <v>7817000</v>
      </c>
      <c r="H126" s="6">
        <v>8484000</v>
      </c>
      <c r="I126" s="6">
        <v>8091000</v>
      </c>
      <c r="J126" s="6">
        <v>3671000</v>
      </c>
      <c r="K126" s="6">
        <v>2676000</v>
      </c>
      <c r="L126" s="6">
        <v>2560000</v>
      </c>
      <c r="M126" s="6">
        <v>3290000</v>
      </c>
      <c r="N126" s="6">
        <v>3774000</v>
      </c>
      <c r="O126" s="6">
        <v>2865000</v>
      </c>
      <c r="P126" s="6">
        <v>15629000</v>
      </c>
      <c r="Q126" s="6">
        <v>13118000</v>
      </c>
      <c r="R126" s="6">
        <v>12588000</v>
      </c>
      <c r="S126" s="6">
        <v>14189000</v>
      </c>
      <c r="T126" s="6">
        <v>14082000</v>
      </c>
      <c r="U126" s="6">
        <v>11303000</v>
      </c>
    </row>
    <row r="127" spans="1:21" ht="15">
      <c r="A127" s="2" t="s">
        <v>252</v>
      </c>
      <c r="B127" s="5">
        <v>4256640</v>
      </c>
      <c r="C127" s="2" t="s">
        <v>253</v>
      </c>
      <c r="D127" s="6">
        <v>10290412</v>
      </c>
      <c r="E127" s="6">
        <v>4483574</v>
      </c>
      <c r="F127" s="6">
        <v>6108568</v>
      </c>
      <c r="G127" s="6">
        <v>7146226</v>
      </c>
      <c r="H127" s="6">
        <v>6892477</v>
      </c>
      <c r="I127" s="6">
        <v>8100238</v>
      </c>
      <c r="J127" s="6">
        <v>2433011</v>
      </c>
      <c r="K127" s="6">
        <v>2027953</v>
      </c>
      <c r="L127" s="6">
        <v>1914756</v>
      </c>
      <c r="M127" s="6">
        <v>1704551</v>
      </c>
      <c r="N127" s="6">
        <v>1526752</v>
      </c>
      <c r="O127" s="6">
        <v>1271546</v>
      </c>
      <c r="P127" s="6">
        <v>4528403</v>
      </c>
      <c r="Q127" s="6">
        <v>3974589</v>
      </c>
      <c r="R127" s="6">
        <v>3757719</v>
      </c>
      <c r="S127" s="6">
        <v>3427129</v>
      </c>
      <c r="T127" s="6">
        <v>2833736</v>
      </c>
      <c r="U127" s="6">
        <v>2388855</v>
      </c>
    </row>
    <row r="128" spans="1:21" ht="15">
      <c r="A128" s="2" t="s">
        <v>254</v>
      </c>
      <c r="B128" s="5">
        <v>14170965</v>
      </c>
      <c r="C128" s="2" t="s">
        <v>255</v>
      </c>
      <c r="D128" s="6">
        <v>2995000</v>
      </c>
      <c r="E128" s="6">
        <v>1634000</v>
      </c>
      <c r="F128" s="6">
        <v>1576000</v>
      </c>
      <c r="G128" s="6">
        <v>1757000</v>
      </c>
      <c r="H128" s="6">
        <v>2975000</v>
      </c>
      <c r="I128" s="6">
        <v>3179000</v>
      </c>
      <c r="J128" s="6">
        <v>3799000</v>
      </c>
      <c r="K128" s="6">
        <v>3179000</v>
      </c>
      <c r="L128" s="6">
        <v>3214000</v>
      </c>
      <c r="M128" s="6">
        <v>3314000</v>
      </c>
      <c r="N128" s="6">
        <v>3878000</v>
      </c>
      <c r="O128" s="6">
        <v>2388000</v>
      </c>
      <c r="P128" s="6">
        <v>17401000</v>
      </c>
      <c r="Q128" s="6">
        <v>16908000</v>
      </c>
      <c r="R128" s="6">
        <v>17226000</v>
      </c>
      <c r="S128" s="6">
        <v>17455000</v>
      </c>
      <c r="T128" s="6">
        <v>15655000</v>
      </c>
      <c r="U128" s="6">
        <v>14217000</v>
      </c>
    </row>
    <row r="129" spans="1:21" ht="15">
      <c r="A129" s="2" t="s">
        <v>256</v>
      </c>
      <c r="B129" s="5">
        <v>4094053</v>
      </c>
      <c r="C129" s="2" t="s">
        <v>257</v>
      </c>
      <c r="D129" s="6">
        <v>1144000</v>
      </c>
      <c r="E129" s="6">
        <v>1124692</v>
      </c>
      <c r="F129" s="6">
        <v>1113582</v>
      </c>
      <c r="G129" s="6">
        <v>1101300</v>
      </c>
      <c r="H129" s="6">
        <v>1106400</v>
      </c>
      <c r="I129" s="6">
        <v>1128000</v>
      </c>
      <c r="J129" s="6">
        <v>209000</v>
      </c>
      <c r="K129" s="6">
        <v>152000</v>
      </c>
      <c r="L129" s="6">
        <v>390000</v>
      </c>
      <c r="M129" s="6">
        <v>597900</v>
      </c>
      <c r="N129" s="6">
        <v>571900</v>
      </c>
      <c r="O129" s="6">
        <v>406146</v>
      </c>
      <c r="P129" s="6">
        <v>3247000</v>
      </c>
      <c r="Q129" s="6">
        <v>2736000</v>
      </c>
      <c r="R129" s="6">
        <v>2455000</v>
      </c>
      <c r="S129" s="6">
        <v>2182400</v>
      </c>
      <c r="T129" s="6">
        <v>1944100</v>
      </c>
      <c r="U129" s="6">
        <v>1659019</v>
      </c>
    </row>
    <row r="130" spans="1:21" ht="15">
      <c r="A130" s="2" t="s">
        <v>258</v>
      </c>
      <c r="B130" s="5">
        <v>4126080</v>
      </c>
      <c r="C130" s="2" t="s">
        <v>259</v>
      </c>
      <c r="D130" s="6">
        <v>9935000</v>
      </c>
      <c r="E130" s="6">
        <v>11086000</v>
      </c>
      <c r="F130" s="6">
        <v>11407000</v>
      </c>
      <c r="G130" s="6">
        <v>10906000</v>
      </c>
      <c r="H130" s="6">
        <v>10536000</v>
      </c>
      <c r="I130" s="6">
        <v>9949000</v>
      </c>
      <c r="J130" s="6">
        <v>12809000</v>
      </c>
      <c r="K130" s="6">
        <v>11522000</v>
      </c>
      <c r="L130" s="6">
        <v>10582000</v>
      </c>
      <c r="M130" s="6">
        <v>9811000</v>
      </c>
      <c r="N130" s="6">
        <v>8573000</v>
      </c>
      <c r="O130" s="6">
        <v>7080000</v>
      </c>
      <c r="P130" s="6">
        <v>275235000</v>
      </c>
      <c r="Q130" s="6">
        <v>254453000</v>
      </c>
      <c r="R130" s="6">
        <v>242290000</v>
      </c>
      <c r="S130" s="6">
        <v>226954000</v>
      </c>
      <c r="T130" s="6">
        <v>195929000</v>
      </c>
      <c r="U130" s="6">
        <v>166761000</v>
      </c>
    </row>
    <row r="131" spans="1:21" ht="15">
      <c r="A131" s="2" t="s">
        <v>260</v>
      </c>
      <c r="B131" s="5">
        <v>4010469</v>
      </c>
      <c r="C131" s="2" t="s">
        <v>261</v>
      </c>
      <c r="D131" s="6">
        <v>4006000</v>
      </c>
      <c r="E131" s="6">
        <v>1168000</v>
      </c>
      <c r="F131" s="6">
        <v>3463000</v>
      </c>
      <c r="G131" s="6">
        <v>2599000</v>
      </c>
      <c r="H131" s="6">
        <v>2526000</v>
      </c>
      <c r="I131" s="6">
        <v>3802000</v>
      </c>
      <c r="J131" s="6">
        <v>4832000</v>
      </c>
      <c r="K131" s="6">
        <v>3226000</v>
      </c>
      <c r="L131" s="6">
        <v>3783000</v>
      </c>
      <c r="M131" s="6">
        <v>6845000</v>
      </c>
      <c r="N131" s="6">
        <v>2259000</v>
      </c>
      <c r="O131" s="6">
        <v>687000</v>
      </c>
      <c r="P131" s="6">
        <v>6991000</v>
      </c>
      <c r="Q131" s="6">
        <v>5244000</v>
      </c>
      <c r="R131" s="6">
        <v>5684000</v>
      </c>
      <c r="S131" s="6">
        <v>9514000</v>
      </c>
      <c r="T131" s="6">
        <v>3670000</v>
      </c>
      <c r="U131" s="6">
        <v>1405000</v>
      </c>
    </row>
    <row r="132" spans="1:21" ht="15">
      <c r="A132" s="2" t="s">
        <v>262</v>
      </c>
      <c r="B132" s="5">
        <v>4213375</v>
      </c>
      <c r="C132" s="2" t="s">
        <v>263</v>
      </c>
      <c r="D132" s="6">
        <v>19705000</v>
      </c>
      <c r="E132" s="6">
        <v>13863000</v>
      </c>
      <c r="F132" s="6">
        <v>12172000</v>
      </c>
      <c r="G132" s="6">
        <v>10955000</v>
      </c>
      <c r="H132" s="6">
        <v>13139000</v>
      </c>
      <c r="I132" s="6">
        <v>15564000</v>
      </c>
      <c r="J132" s="6">
        <v>7500000</v>
      </c>
      <c r="K132" s="6">
        <v>6727000</v>
      </c>
      <c r="L132" s="6">
        <v>6123000</v>
      </c>
      <c r="M132" s="6">
        <v>5405000</v>
      </c>
      <c r="N132" s="6">
        <v>4862000</v>
      </c>
      <c r="O132" s="6">
        <v>4288000</v>
      </c>
      <c r="P132" s="6">
        <v>37447000</v>
      </c>
      <c r="Q132" s="6">
        <v>35572000</v>
      </c>
      <c r="R132" s="6">
        <v>34949000</v>
      </c>
      <c r="S132" s="6">
        <v>32723000</v>
      </c>
      <c r="T132" s="6">
        <v>29206000</v>
      </c>
      <c r="U132" s="6">
        <v>25888000</v>
      </c>
    </row>
    <row r="133" spans="1:21" ht="15">
      <c r="A133" s="2" t="s">
        <v>264</v>
      </c>
      <c r="B133" s="5">
        <v>12917530</v>
      </c>
      <c r="C133" s="2" t="s">
        <v>265</v>
      </c>
      <c r="D133" s="6">
        <v>820077</v>
      </c>
      <c r="E133" s="6">
        <v>778992</v>
      </c>
      <c r="F133" s="6">
        <v>774716</v>
      </c>
      <c r="G133" s="6">
        <v>783618</v>
      </c>
      <c r="H133" s="6">
        <v>792874</v>
      </c>
      <c r="I133" s="6">
        <v>788901</v>
      </c>
      <c r="J133" s="6">
        <v>-46664</v>
      </c>
      <c r="K133" s="6">
        <v>42756</v>
      </c>
      <c r="L133" s="6">
        <v>88813</v>
      </c>
      <c r="M133" s="6">
        <v>-117802</v>
      </c>
      <c r="N133" s="6">
        <v>-86138</v>
      </c>
      <c r="O133" s="6">
        <v>-60271</v>
      </c>
      <c r="P133" s="6">
        <v>4812005</v>
      </c>
      <c r="Q133" s="6">
        <v>3953624</v>
      </c>
      <c r="R133" s="6">
        <v>3055555</v>
      </c>
      <c r="S133" s="6">
        <v>2241236</v>
      </c>
      <c r="T133" s="6">
        <v>1451594</v>
      </c>
      <c r="U133" s="6">
        <v>874438</v>
      </c>
    </row>
    <row r="134" spans="1:21" ht="15">
      <c r="A134" s="2" t="s">
        <v>266</v>
      </c>
      <c r="B134" s="5">
        <v>4417219</v>
      </c>
      <c r="C134" s="2" t="s">
        <v>267</v>
      </c>
      <c r="D134" s="6">
        <v>29566000</v>
      </c>
      <c r="E134" s="6">
        <v>25417000</v>
      </c>
      <c r="F134" s="6">
        <v>27009000</v>
      </c>
      <c r="G134" s="6">
        <v>27960000</v>
      </c>
      <c r="H134" s="6">
        <v>28814000</v>
      </c>
      <c r="I134" s="6">
        <v>29380000</v>
      </c>
      <c r="J134" s="6">
        <v>2776000</v>
      </c>
      <c r="K134" s="6">
        <v>2935000</v>
      </c>
      <c r="L134" s="6">
        <v>2967000</v>
      </c>
      <c r="M134" s="6">
        <v>4119000</v>
      </c>
      <c r="N134" s="6">
        <v>3613000</v>
      </c>
      <c r="O134" s="6">
        <v>3155000</v>
      </c>
      <c r="P134" s="6">
        <v>4264000</v>
      </c>
      <c r="Q134" s="6">
        <v>4460000</v>
      </c>
      <c r="R134" s="6">
        <v>4734000</v>
      </c>
      <c r="S134" s="6">
        <v>6986000</v>
      </c>
      <c r="T134" s="6">
        <v>6340000</v>
      </c>
      <c r="U134" s="6">
        <v>5840000</v>
      </c>
    </row>
    <row r="135" spans="1:21" ht="15">
      <c r="A135" s="2" t="s">
        <v>268</v>
      </c>
      <c r="B135" s="5">
        <v>4004350</v>
      </c>
      <c r="C135" s="2" t="s">
        <v>269</v>
      </c>
      <c r="D135" s="6">
        <v>19506000</v>
      </c>
      <c r="E135" s="6">
        <v>17205000</v>
      </c>
      <c r="F135" s="6">
        <v>16908000</v>
      </c>
      <c r="G135" s="6">
        <v>18722000</v>
      </c>
      <c r="H135" s="6">
        <v>19199000</v>
      </c>
      <c r="I135" s="6">
        <v>19185000</v>
      </c>
      <c r="J135" s="6">
        <v>6424000</v>
      </c>
      <c r="K135" s="6">
        <v>7085000</v>
      </c>
      <c r="L135" s="6">
        <v>7137000</v>
      </c>
      <c r="M135" s="6">
        <v>7323000</v>
      </c>
      <c r="N135" s="6">
        <v>6653000</v>
      </c>
      <c r="O135" s="6">
        <v>5760000</v>
      </c>
      <c r="P135" s="6">
        <v>14092000</v>
      </c>
      <c r="Q135" s="6">
        <v>14540000</v>
      </c>
      <c r="R135" s="6">
        <v>14657000</v>
      </c>
      <c r="S135" s="6">
        <v>14853000</v>
      </c>
      <c r="T135" s="6">
        <v>12522000</v>
      </c>
      <c r="U135" s="6">
        <v>10583000</v>
      </c>
    </row>
    <row r="136" spans="1:21" ht="15">
      <c r="A136" s="2" t="s">
        <v>270</v>
      </c>
      <c r="B136" s="5">
        <v>4074303</v>
      </c>
      <c r="C136" s="2" t="s">
        <v>271</v>
      </c>
      <c r="D136" s="6">
        <v>8114000</v>
      </c>
      <c r="E136" s="6">
        <v>4658000</v>
      </c>
      <c r="F136" s="6">
        <v>4632000</v>
      </c>
      <c r="G136" s="6">
        <v>8506000</v>
      </c>
      <c r="H136" s="6">
        <v>7325000</v>
      </c>
      <c r="I136" s="6">
        <v>7598000</v>
      </c>
      <c r="J136" s="6">
        <v>5190000</v>
      </c>
      <c r="K136" s="6">
        <v>4832000</v>
      </c>
      <c r="L136" s="6">
        <v>2294000</v>
      </c>
      <c r="M136" s="6">
        <v>3471000</v>
      </c>
      <c r="N136" s="6">
        <v>2859000</v>
      </c>
      <c r="O136" s="6">
        <v>2487000</v>
      </c>
      <c r="P136" s="6">
        <v>33670000</v>
      </c>
      <c r="Q136" s="6">
        <v>34102000</v>
      </c>
      <c r="R136" s="6">
        <v>34065000</v>
      </c>
      <c r="S136" s="6">
        <v>28074000</v>
      </c>
      <c r="T136" s="6">
        <v>24021000</v>
      </c>
      <c r="U136" s="6">
        <v>19811000</v>
      </c>
    </row>
    <row r="137" spans="1:21" ht="15">
      <c r="A137" s="2" t="s">
        <v>272</v>
      </c>
      <c r="B137" s="5">
        <v>4206348</v>
      </c>
      <c r="C137" s="2" t="s">
        <v>273</v>
      </c>
      <c r="D137" s="6">
        <v>79950000</v>
      </c>
      <c r="E137" s="6">
        <v>85042000</v>
      </c>
      <c r="F137" s="6">
        <v>75999000</v>
      </c>
      <c r="G137" s="6">
        <v>70732000</v>
      </c>
      <c r="H137" s="6">
        <v>79385000</v>
      </c>
      <c r="I137" s="6">
        <v>82920000</v>
      </c>
      <c r="J137" s="6">
        <v>14625000</v>
      </c>
      <c r="K137" s="6">
        <v>12616000</v>
      </c>
      <c r="L137" s="6">
        <v>18439000</v>
      </c>
      <c r="M137" s="6">
        <v>19966000</v>
      </c>
      <c r="N137" s="6">
        <v>18643000</v>
      </c>
      <c r="O137" s="6">
        <v>18104000</v>
      </c>
      <c r="P137" s="6">
        <v>399834000</v>
      </c>
      <c r="Q137" s="6">
        <v>370656000</v>
      </c>
      <c r="R137" s="6">
        <v>356623000</v>
      </c>
      <c r="S137" s="6">
        <v>321629000</v>
      </c>
      <c r="T137" s="6">
        <v>290912000</v>
      </c>
      <c r="U137" s="6">
        <v>267908000</v>
      </c>
    </row>
    <row r="138" spans="1:21" ht="15">
      <c r="A138" s="2" t="s">
        <v>274</v>
      </c>
      <c r="B138" s="5">
        <v>4049266</v>
      </c>
      <c r="C138" s="2" t="s">
        <v>275</v>
      </c>
      <c r="D138" s="6">
        <v>6065200</v>
      </c>
      <c r="E138" s="6">
        <v>4336800</v>
      </c>
      <c r="F138" s="6">
        <v>5451100</v>
      </c>
      <c r="G138" s="6">
        <v>6310700</v>
      </c>
      <c r="H138" s="6">
        <v>5192200</v>
      </c>
      <c r="I138" s="6">
        <v>6034000</v>
      </c>
      <c r="J138" s="6">
        <v>4772500</v>
      </c>
      <c r="K138" s="6">
        <v>6202900</v>
      </c>
      <c r="L138" s="6">
        <v>6350200</v>
      </c>
      <c r="M138" s="6">
        <v>7765400</v>
      </c>
      <c r="N138" s="6">
        <v>5458800</v>
      </c>
      <c r="O138" s="6">
        <v>3029500</v>
      </c>
      <c r="P138" s="6">
        <v>34250400</v>
      </c>
      <c r="Q138" s="6">
        <v>36801400</v>
      </c>
      <c r="R138" s="6">
        <v>35460400</v>
      </c>
      <c r="S138" s="6">
        <v>33480000</v>
      </c>
      <c r="T138" s="6">
        <v>27774200</v>
      </c>
      <c r="U138" s="6">
        <v>20311100</v>
      </c>
    </row>
    <row r="139" spans="1:21" ht="15">
      <c r="A139" s="2" t="s">
        <v>276</v>
      </c>
      <c r="B139" s="5">
        <v>4810677</v>
      </c>
      <c r="C139" s="2" t="s">
        <v>277</v>
      </c>
      <c r="D139" s="6">
        <v>19696000</v>
      </c>
      <c r="E139" s="6">
        <v>22178000</v>
      </c>
      <c r="F139" s="6">
        <v>23272000</v>
      </c>
      <c r="G139" s="6">
        <v>20616000</v>
      </c>
      <c r="H139" s="6">
        <v>19536000</v>
      </c>
      <c r="I139" s="6">
        <v>17146000</v>
      </c>
      <c r="J139" s="6">
        <v>7835000</v>
      </c>
      <c r="K139" s="6">
        <v>7549000</v>
      </c>
      <c r="L139" s="6">
        <v>7466000</v>
      </c>
      <c r="M139" s="6">
        <v>9712000</v>
      </c>
      <c r="N139" s="6">
        <v>9144000</v>
      </c>
      <c r="O139" s="6">
        <v>6590000</v>
      </c>
      <c r="P139" s="6">
        <v>24568000</v>
      </c>
      <c r="Q139" s="6">
        <v>23875000</v>
      </c>
      <c r="R139" s="6">
        <v>23890000</v>
      </c>
      <c r="S139" s="6">
        <v>26643000</v>
      </c>
      <c r="T139" s="6">
        <v>24802000</v>
      </c>
      <c r="U139" s="6">
        <v>22284000</v>
      </c>
    </row>
    <row r="140" spans="1:21" ht="15">
      <c r="A140" s="2" t="s">
        <v>278</v>
      </c>
      <c r="B140" s="5">
        <v>4297825</v>
      </c>
      <c r="C140" s="2" t="s">
        <v>279</v>
      </c>
      <c r="D140" s="6">
        <v>7813500</v>
      </c>
      <c r="E140" s="6">
        <v>6009800</v>
      </c>
      <c r="F140" s="6">
        <v>5757900</v>
      </c>
      <c r="G140" s="6">
        <v>5905800</v>
      </c>
      <c r="H140" s="6">
        <v>5966500</v>
      </c>
      <c r="I140" s="6">
        <v>6784900</v>
      </c>
      <c r="J140" s="6">
        <v>1909400</v>
      </c>
      <c r="K140" s="6">
        <v>1763600</v>
      </c>
      <c r="L140" s="6">
        <v>1560400</v>
      </c>
      <c r="M140" s="6">
        <v>1508900</v>
      </c>
      <c r="N140" s="6">
        <v>980800</v>
      </c>
      <c r="O140" s="6">
        <v>768300</v>
      </c>
      <c r="P140" s="6">
        <v>12076700</v>
      </c>
      <c r="Q140" s="6">
        <v>11390000</v>
      </c>
      <c r="R140" s="6">
        <v>10487800</v>
      </c>
      <c r="S140" s="6">
        <v>9630000</v>
      </c>
      <c r="T140" s="6">
        <v>7196100</v>
      </c>
      <c r="U140" s="6">
        <v>7806900</v>
      </c>
    </row>
    <row r="141" spans="1:21" ht="15">
      <c r="A141" s="2" t="s">
        <v>280</v>
      </c>
      <c r="B141" s="5">
        <v>5222696</v>
      </c>
      <c r="C141" s="2" t="s">
        <v>281</v>
      </c>
      <c r="D141" s="6">
        <v>1279005</v>
      </c>
      <c r="E141" s="6">
        <v>643623</v>
      </c>
      <c r="F141" s="6">
        <v>807745</v>
      </c>
      <c r="G141" s="6">
        <v>837521</v>
      </c>
      <c r="H141" s="6">
        <v>902337</v>
      </c>
      <c r="I141" s="6">
        <v>1842180</v>
      </c>
      <c r="J141" s="6">
        <v>7529</v>
      </c>
      <c r="K141" s="6">
        <v>103575</v>
      </c>
      <c r="L141" s="6">
        <v>2960</v>
      </c>
      <c r="M141" s="6">
        <v>-30816</v>
      </c>
      <c r="N141" s="6">
        <v>-10</v>
      </c>
      <c r="O141" s="6">
        <v>734</v>
      </c>
      <c r="P141" s="6">
        <v>3427158</v>
      </c>
      <c r="Q141" s="6">
        <v>2684275</v>
      </c>
      <c r="R141" s="6">
        <v>2128359</v>
      </c>
      <c r="S141" s="6">
        <v>1675100</v>
      </c>
      <c r="T141" s="6">
        <v>1028784</v>
      </c>
      <c r="U141" s="6">
        <v>603466</v>
      </c>
    </row>
    <row r="142" spans="1:21" ht="15">
      <c r="A142" s="2" t="s">
        <v>282</v>
      </c>
      <c r="B142" s="5">
        <v>4189919</v>
      </c>
      <c r="C142" s="2" t="s">
        <v>283</v>
      </c>
      <c r="D142" s="6">
        <v>12874331</v>
      </c>
      <c r="E142" s="6">
        <v>11193971</v>
      </c>
      <c r="F142" s="6">
        <v>11975250</v>
      </c>
      <c r="G142" s="6">
        <v>11822490</v>
      </c>
      <c r="H142" s="6">
        <v>11116421</v>
      </c>
      <c r="I142" s="6">
        <v>12066836</v>
      </c>
      <c r="J142" s="6">
        <v>2751163</v>
      </c>
      <c r="K142" s="6">
        <v>2678688</v>
      </c>
      <c r="L142" s="6">
        <v>2346446</v>
      </c>
      <c r="M142" s="6">
        <v>2045144</v>
      </c>
      <c r="N142" s="6">
        <v>2451048</v>
      </c>
      <c r="O142" s="6">
        <v>2314407</v>
      </c>
      <c r="P142" s="6">
        <v>13643069</v>
      </c>
      <c r="Q142" s="6">
        <v>12815550</v>
      </c>
      <c r="R142" s="6">
        <v>12140147</v>
      </c>
      <c r="S142" s="6">
        <v>11609894</v>
      </c>
      <c r="T142" s="6">
        <v>11618797</v>
      </c>
      <c r="U142" s="6">
        <v>11550604</v>
      </c>
    </row>
    <row r="143" spans="1:21" ht="15">
      <c r="A143" s="2" t="s">
        <v>284</v>
      </c>
      <c r="B143" s="5">
        <v>4391531</v>
      </c>
      <c r="C143" s="2" t="s">
        <v>285</v>
      </c>
      <c r="D143" s="6">
        <v>276975</v>
      </c>
      <c r="E143" s="6">
        <v>295716</v>
      </c>
      <c r="F143" s="6">
        <v>223042</v>
      </c>
      <c r="G143" s="6">
        <v>222070</v>
      </c>
      <c r="H143" s="6">
        <v>246488</v>
      </c>
      <c r="I143" s="6">
        <v>266879</v>
      </c>
      <c r="J143" s="6">
        <v>1252735</v>
      </c>
      <c r="K143" s="6">
        <v>994280</v>
      </c>
      <c r="L143" s="6">
        <v>703426</v>
      </c>
      <c r="M143" s="6">
        <v>610771</v>
      </c>
      <c r="N143" s="6">
        <v>562074</v>
      </c>
      <c r="O143" s="6">
        <v>378084</v>
      </c>
      <c r="P143" s="6">
        <v>4985612</v>
      </c>
      <c r="Q143" s="6">
        <v>4287763</v>
      </c>
      <c r="R143" s="6">
        <v>3627286</v>
      </c>
      <c r="S143" s="6">
        <v>3150339</v>
      </c>
      <c r="T143" s="6">
        <v>2545641</v>
      </c>
      <c r="U143" s="6">
        <v>2132689</v>
      </c>
    </row>
    <row r="144" spans="1:21" ht="15">
      <c r="A144" s="2" t="s">
        <v>286</v>
      </c>
      <c r="B144" s="5">
        <v>114526</v>
      </c>
      <c r="C144" s="2" t="s">
        <v>287</v>
      </c>
      <c r="D144" s="6">
        <v>64606000</v>
      </c>
      <c r="E144" s="6">
        <v>46295000</v>
      </c>
      <c r="F144" s="6">
        <v>48825000</v>
      </c>
      <c r="G144" s="6">
        <v>53314000</v>
      </c>
      <c r="H144" s="6">
        <v>64768000</v>
      </c>
      <c r="I144" s="6">
        <v>66025000</v>
      </c>
      <c r="J144" s="6">
        <v>8614000</v>
      </c>
      <c r="K144" s="6">
        <v>11349000</v>
      </c>
      <c r="L144" s="6">
        <v>15254000</v>
      </c>
      <c r="M144" s="6">
        <v>11541000</v>
      </c>
      <c r="N144" s="6">
        <v>9855000</v>
      </c>
      <c r="O144" s="6">
        <v>6533000</v>
      </c>
      <c r="P144" s="6">
        <v>45628000</v>
      </c>
      <c r="Q144" s="6">
        <v>51532000</v>
      </c>
      <c r="R144" s="6">
        <v>61222000</v>
      </c>
      <c r="S144" s="6">
        <v>52563000</v>
      </c>
      <c r="T144" s="6">
        <v>43983000</v>
      </c>
      <c r="U144" s="6">
        <v>35514000</v>
      </c>
    </row>
    <row r="145" spans="1:21" ht="15">
      <c r="A145" s="2" t="s">
        <v>288</v>
      </c>
      <c r="B145" s="5">
        <v>4625099</v>
      </c>
      <c r="C145" s="2" t="s">
        <v>289</v>
      </c>
      <c r="D145" s="6">
        <v>32260000</v>
      </c>
      <c r="E145" s="6">
        <v>40478000</v>
      </c>
      <c r="F145" s="6">
        <v>27998000</v>
      </c>
      <c r="G145" s="6">
        <v>30579000</v>
      </c>
      <c r="H145" s="6">
        <v>26851000</v>
      </c>
      <c r="I145" s="6">
        <v>25369000</v>
      </c>
      <c r="J145" s="6">
        <v>11457000</v>
      </c>
      <c r="K145" s="6">
        <v>9728000</v>
      </c>
      <c r="L145" s="6">
        <v>8946000</v>
      </c>
      <c r="M145" s="6">
        <v>9137000</v>
      </c>
      <c r="N145" s="6">
        <v>9081000</v>
      </c>
      <c r="O145" s="6">
        <v>8760000</v>
      </c>
      <c r="P145" s="6">
        <v>113538000</v>
      </c>
      <c r="Q145" s="6">
        <v>95567000</v>
      </c>
      <c r="R145" s="6">
        <v>88425000</v>
      </c>
      <c r="S145" s="6">
        <v>102301000</v>
      </c>
      <c r="T145" s="6">
        <v>101197000</v>
      </c>
      <c r="U145" s="6">
        <v>86670000</v>
      </c>
    </row>
    <row r="146" spans="1:21" ht="15">
      <c r="A146" s="2" t="s">
        <v>290</v>
      </c>
      <c r="B146" s="5">
        <v>4004278</v>
      </c>
      <c r="C146" s="2" t="s">
        <v>291</v>
      </c>
      <c r="D146" s="6">
        <v>21374000</v>
      </c>
      <c r="E146" s="6">
        <v>36648000</v>
      </c>
      <c r="F146" s="6">
        <v>35779000</v>
      </c>
      <c r="G146" s="6">
        <v>31710000</v>
      </c>
      <c r="H146" s="6">
        <v>28381000</v>
      </c>
      <c r="I146" s="6">
        <v>23871000</v>
      </c>
      <c r="J146" s="6">
        <v>7772000</v>
      </c>
      <c r="K146" s="6">
        <v>8000000</v>
      </c>
      <c r="L146" s="6">
        <v>7279000</v>
      </c>
      <c r="M146" s="6">
        <v>5752000</v>
      </c>
      <c r="N146" s="6">
        <v>-478000</v>
      </c>
      <c r="O146" s="6">
        <v>-5955000</v>
      </c>
      <c r="P146" s="6">
        <v>63364000</v>
      </c>
      <c r="Q146" s="6">
        <v>61643000</v>
      </c>
      <c r="R146" s="6">
        <v>58048000</v>
      </c>
      <c r="S146" s="6">
        <v>50582000</v>
      </c>
      <c r="T146" s="6">
        <v>29899000</v>
      </c>
      <c r="U146" s="6">
        <v>17095000</v>
      </c>
    </row>
    <row r="147" spans="1:21" ht="15">
      <c r="A147" s="2" t="s">
        <v>292</v>
      </c>
      <c r="B147" s="5">
        <v>4010561</v>
      </c>
      <c r="C147" s="2" t="s">
        <v>293</v>
      </c>
      <c r="D147" s="6">
        <v>8688000</v>
      </c>
      <c r="E147" s="6">
        <v>4553000</v>
      </c>
      <c r="F147" s="6">
        <v>6760000</v>
      </c>
      <c r="G147" s="6">
        <v>6718000</v>
      </c>
      <c r="H147" s="6">
        <v>6483000</v>
      </c>
      <c r="I147" s="6">
        <v>9256000</v>
      </c>
      <c r="J147" s="6">
        <v>7476000</v>
      </c>
      <c r="K147" s="6">
        <v>7380000</v>
      </c>
      <c r="L147" s="6">
        <v>7484000</v>
      </c>
      <c r="M147" s="6">
        <v>10288000</v>
      </c>
      <c r="N147" s="6">
        <v>5503000</v>
      </c>
      <c r="O147" s="6">
        <v>1393000</v>
      </c>
      <c r="P147" s="6">
        <v>16038000</v>
      </c>
      <c r="Q147" s="6">
        <v>15171000</v>
      </c>
      <c r="R147" s="6">
        <v>15140000</v>
      </c>
      <c r="S147" s="6">
        <v>19827000</v>
      </c>
      <c r="T147" s="6">
        <v>13750000</v>
      </c>
      <c r="U147" s="6">
        <v>4673000</v>
      </c>
    </row>
    <row r="148" spans="1:21" ht="15">
      <c r="A148" s="2" t="s">
        <v>294</v>
      </c>
      <c r="B148" s="5">
        <v>4270258</v>
      </c>
      <c r="C148" s="2" t="s">
        <v>295</v>
      </c>
      <c r="D148" s="6">
        <v>1396400</v>
      </c>
      <c r="E148" s="6">
        <v>1839500</v>
      </c>
      <c r="F148" s="6">
        <v>2157900</v>
      </c>
      <c r="G148" s="6">
        <v>2145000</v>
      </c>
      <c r="H148" s="6">
        <v>2594000</v>
      </c>
      <c r="I148" s="6">
        <v>2587400</v>
      </c>
      <c r="J148" s="6">
        <v>1163600</v>
      </c>
      <c r="K148" s="6">
        <v>817700</v>
      </c>
      <c r="L148" s="6">
        <v>783700</v>
      </c>
      <c r="M148" s="6">
        <v>547100</v>
      </c>
      <c r="N148" s="6">
        <v>367800</v>
      </c>
      <c r="O148" s="6">
        <v>354200</v>
      </c>
      <c r="P148" s="6">
        <v>4662000</v>
      </c>
      <c r="Q148" s="6">
        <v>4033000</v>
      </c>
      <c r="R148" s="6">
        <v>3622300</v>
      </c>
      <c r="S148" s="6">
        <v>2909800</v>
      </c>
      <c r="T148" s="6">
        <v>2448500</v>
      </c>
      <c r="U148" s="6">
        <v>1926700</v>
      </c>
    </row>
    <row r="149" spans="1:21" ht="15">
      <c r="A149" s="2" t="s">
        <v>296</v>
      </c>
      <c r="B149" s="5">
        <v>4337452</v>
      </c>
      <c r="C149" s="2" t="s">
        <v>297</v>
      </c>
      <c r="D149" s="6">
        <v>14516000</v>
      </c>
      <c r="E149" s="6">
        <v>5815000</v>
      </c>
      <c r="F149" s="6">
        <v>6715000</v>
      </c>
      <c r="G149" s="6">
        <v>6441000</v>
      </c>
      <c r="H149" s="6">
        <v>6804000</v>
      </c>
      <c r="I149" s="6">
        <v>13099000</v>
      </c>
      <c r="J149" s="6">
        <v>10206000</v>
      </c>
      <c r="K149" s="6">
        <v>7735000</v>
      </c>
      <c r="L149" s="6">
        <v>6077000</v>
      </c>
      <c r="M149" s="6">
        <v>7338000</v>
      </c>
      <c r="N149" s="6">
        <v>4376000</v>
      </c>
      <c r="O149" s="6">
        <v>1824000</v>
      </c>
      <c r="P149" s="6">
        <v>14295000</v>
      </c>
      <c r="Q149" s="6">
        <v>10561000</v>
      </c>
      <c r="R149" s="6">
        <v>8339000</v>
      </c>
      <c r="S149" s="6">
        <v>9566000</v>
      </c>
      <c r="T149" s="6">
        <v>6747000</v>
      </c>
      <c r="U149" s="6">
        <v>2756000</v>
      </c>
    </row>
    <row r="150" spans="1:21" ht="15">
      <c r="A150" s="2" t="s">
        <v>298</v>
      </c>
      <c r="B150" s="5">
        <v>4094311</v>
      </c>
      <c r="C150" s="2" t="s">
        <v>299</v>
      </c>
      <c r="D150" s="6">
        <v>20287968</v>
      </c>
      <c r="E150" s="6">
        <v>14776211</v>
      </c>
      <c r="F150" s="6">
        <v>14960397</v>
      </c>
      <c r="G150" s="6">
        <v>18176720</v>
      </c>
      <c r="H150" s="6">
        <v>19124754</v>
      </c>
      <c r="I150" s="6">
        <v>18095446</v>
      </c>
      <c r="J150" s="6">
        <v>2779584</v>
      </c>
      <c r="K150" s="6">
        <v>2403409</v>
      </c>
      <c r="L150" s="6">
        <v>2386114</v>
      </c>
      <c r="M150" s="6">
        <v>2223270</v>
      </c>
      <c r="N150" s="6">
        <v>2312241</v>
      </c>
      <c r="O150" s="6">
        <v>1989920</v>
      </c>
      <c r="P150" s="6">
        <v>6080705</v>
      </c>
      <c r="Q150" s="6">
        <v>5434830</v>
      </c>
      <c r="R150" s="6">
        <v>5447270</v>
      </c>
      <c r="S150" s="6">
        <v>4678337</v>
      </c>
      <c r="T150" s="6">
        <v>4490165</v>
      </c>
      <c r="U150" s="6">
        <v>3845980</v>
      </c>
    </row>
    <row r="151" spans="1:21" ht="15">
      <c r="A151" s="2" t="s">
        <v>300</v>
      </c>
      <c r="B151" s="5">
        <v>4022058</v>
      </c>
      <c r="C151" s="2" t="s">
        <v>301</v>
      </c>
      <c r="D151" s="6">
        <v>15718656</v>
      </c>
      <c r="E151" s="6">
        <v>13590442</v>
      </c>
      <c r="F151" s="6">
        <v>14246336</v>
      </c>
      <c r="G151" s="6">
        <v>17661099</v>
      </c>
      <c r="H151" s="6">
        <v>18090766</v>
      </c>
      <c r="I151" s="6">
        <v>17463385</v>
      </c>
      <c r="J151" s="6">
        <v>3307086</v>
      </c>
      <c r="K151" s="6">
        <v>2930377</v>
      </c>
      <c r="L151" s="6">
        <v>3301793</v>
      </c>
      <c r="M151" s="6">
        <v>4055279</v>
      </c>
      <c r="N151" s="6">
        <v>3864591</v>
      </c>
      <c r="O151" s="6">
        <v>4131702</v>
      </c>
      <c r="P151" s="6">
        <v>42724369</v>
      </c>
      <c r="Q151" s="6">
        <v>40612308</v>
      </c>
      <c r="R151" s="6">
        <v>38691609</v>
      </c>
      <c r="S151" s="6">
        <v>37844863</v>
      </c>
      <c r="T151" s="6">
        <v>34220449</v>
      </c>
      <c r="U151" s="6">
        <v>33746839</v>
      </c>
    </row>
    <row r="152" spans="1:21" ht="15">
      <c r="A152" s="2" t="s">
        <v>302</v>
      </c>
      <c r="B152" s="5">
        <v>4911259</v>
      </c>
      <c r="C152" s="2" t="s">
        <v>303</v>
      </c>
      <c r="D152" s="6">
        <v>7055600</v>
      </c>
      <c r="E152" s="6">
        <v>9639900</v>
      </c>
      <c r="F152" s="6">
        <v>9970300</v>
      </c>
      <c r="G152" s="6">
        <v>10126500</v>
      </c>
      <c r="H152" s="6">
        <v>7368400</v>
      </c>
      <c r="I152" s="6">
        <v>7830600</v>
      </c>
      <c r="J152" s="6">
        <v>2311300</v>
      </c>
      <c r="K152" s="6">
        <v>2041000</v>
      </c>
      <c r="L152" s="6">
        <v>2185900</v>
      </c>
      <c r="M152" s="6">
        <v>2466000</v>
      </c>
      <c r="N152" s="6">
        <v>2531800</v>
      </c>
      <c r="O152" s="6">
        <v>2579100</v>
      </c>
      <c r="P152" s="6">
        <v>19411800</v>
      </c>
      <c r="Q152" s="6">
        <v>17578500</v>
      </c>
      <c r="R152" s="6">
        <v>16781100</v>
      </c>
      <c r="S152" s="6">
        <v>15411500</v>
      </c>
      <c r="T152" s="6">
        <v>26321200</v>
      </c>
      <c r="U152" s="6">
        <v>25509300</v>
      </c>
    </row>
    <row r="153" spans="1:21" ht="15">
      <c r="A153" s="2" t="s">
        <v>304</v>
      </c>
      <c r="B153" s="5">
        <v>4001616</v>
      </c>
      <c r="C153" s="2" t="s">
        <v>305</v>
      </c>
      <c r="D153" s="6">
        <v>50157000</v>
      </c>
      <c r="E153" s="6">
        <v>37642000</v>
      </c>
      <c r="F153" s="6">
        <v>41488000</v>
      </c>
      <c r="G153" s="6">
        <v>42178000</v>
      </c>
      <c r="H153" s="6">
        <v>45356000</v>
      </c>
      <c r="I153" s="6">
        <v>43033000</v>
      </c>
      <c r="J153" s="6">
        <v>8111000</v>
      </c>
      <c r="K153" s="6">
        <v>7214000</v>
      </c>
      <c r="L153" s="6">
        <v>7218000</v>
      </c>
      <c r="M153" s="6">
        <v>5948000</v>
      </c>
      <c r="N153" s="6">
        <v>5902000</v>
      </c>
      <c r="O153" s="6">
        <v>6392000</v>
      </c>
      <c r="P153" s="6">
        <v>16506000</v>
      </c>
      <c r="Q153" s="6">
        <v>14459000</v>
      </c>
      <c r="R153" s="6">
        <v>14393000</v>
      </c>
      <c r="S153" s="6">
        <v>13938000</v>
      </c>
      <c r="T153" s="6">
        <v>11419000</v>
      </c>
      <c r="U153" s="6">
        <v>14172000</v>
      </c>
    </row>
    <row r="154" spans="1:21" ht="15">
      <c r="A154" s="2" t="s">
        <v>306</v>
      </c>
      <c r="B154" s="5">
        <v>4206221</v>
      </c>
      <c r="C154" s="2" t="s">
        <v>307</v>
      </c>
      <c r="D154" s="6">
        <v>5048284</v>
      </c>
      <c r="E154" s="6">
        <v>4357002</v>
      </c>
      <c r="F154" s="6">
        <v>5291852</v>
      </c>
      <c r="G154" s="6">
        <v>5252354</v>
      </c>
      <c r="H154" s="6">
        <v>5209306</v>
      </c>
      <c r="I154" s="6">
        <v>5197241</v>
      </c>
      <c r="J154" s="6">
        <v>1009173</v>
      </c>
      <c r="K154" s="6">
        <v>934989</v>
      </c>
      <c r="L154" s="6">
        <v>872108</v>
      </c>
      <c r="M154" s="6">
        <v>798503</v>
      </c>
      <c r="N154" s="6">
        <v>829031</v>
      </c>
      <c r="O154" s="6">
        <v>767680</v>
      </c>
      <c r="P154" s="6">
        <v>4939994</v>
      </c>
      <c r="Q154" s="6">
        <v>4706416</v>
      </c>
      <c r="R154" s="6">
        <v>4479358</v>
      </c>
      <c r="S154" s="6">
        <v>4537158</v>
      </c>
      <c r="T154" s="6">
        <v>4357373</v>
      </c>
      <c r="U154" s="6">
        <v>4117411</v>
      </c>
    </row>
    <row r="155" spans="1:21" ht="15">
      <c r="A155" s="2" t="s">
        <v>308</v>
      </c>
      <c r="B155" s="5">
        <v>6543878</v>
      </c>
      <c r="C155" s="2" t="s">
        <v>309</v>
      </c>
      <c r="D155" s="6">
        <v>3290000</v>
      </c>
      <c r="E155" s="6">
        <v>617000</v>
      </c>
      <c r="F155" s="6">
        <v>399000</v>
      </c>
      <c r="G155" s="6">
        <v>511000</v>
      </c>
      <c r="H155" s="6">
        <v>522000</v>
      </c>
      <c r="I155" s="6">
        <v>536000</v>
      </c>
      <c r="J155" s="6">
        <v>1218000</v>
      </c>
      <c r="K155" s="6">
        <v>295000</v>
      </c>
      <c r="L155" s="6">
        <v>-322000</v>
      </c>
      <c r="M155" s="6">
        <v>-748000</v>
      </c>
      <c r="N155" s="6">
        <v>-348000</v>
      </c>
      <c r="O155" s="6">
        <v>-321000</v>
      </c>
      <c r="P155" s="6">
        <v>13717000</v>
      </c>
      <c r="Q155" s="6">
        <v>10722000</v>
      </c>
      <c r="R155" s="6">
        <v>8635000</v>
      </c>
      <c r="S155" s="6">
        <v>6583000</v>
      </c>
      <c r="T155" s="6">
        <v>4888000</v>
      </c>
      <c r="U155" s="6">
        <v>2886000</v>
      </c>
    </row>
    <row r="156" spans="1:21" ht="15">
      <c r="A156" s="2" t="s">
        <v>310</v>
      </c>
      <c r="B156" s="5">
        <v>4068060</v>
      </c>
      <c r="C156" s="2" t="s">
        <v>311</v>
      </c>
      <c r="D156" s="6">
        <v>3584452</v>
      </c>
      <c r="E156" s="6">
        <v>3303002</v>
      </c>
      <c r="F156" s="6">
        <v>3311192</v>
      </c>
      <c r="G156" s="6">
        <v>3895418</v>
      </c>
      <c r="H156" s="6">
        <v>3687797</v>
      </c>
      <c r="I156" s="6">
        <v>3163099</v>
      </c>
      <c r="J156" s="6">
        <v>1824442</v>
      </c>
      <c r="K156" s="6">
        <v>1628806</v>
      </c>
      <c r="L156" s="6">
        <v>1576157</v>
      </c>
      <c r="M156" s="6">
        <v>1612908</v>
      </c>
      <c r="N156" s="6">
        <v>1601027</v>
      </c>
      <c r="O156" s="6">
        <v>1262904</v>
      </c>
      <c r="P156" s="6">
        <v>8092571</v>
      </c>
      <c r="Q156" s="6">
        <v>7745909</v>
      </c>
      <c r="R156" s="6">
        <v>7684476</v>
      </c>
      <c r="S156" s="6">
        <v>7844174</v>
      </c>
      <c r="T156" s="6">
        <v>7907081</v>
      </c>
      <c r="U156" s="6">
        <v>6683760</v>
      </c>
    </row>
    <row r="157" spans="1:21" ht="15">
      <c r="A157" s="2" t="s">
        <v>312</v>
      </c>
      <c r="B157" s="5">
        <v>4209300</v>
      </c>
      <c r="C157" s="2" t="s">
        <v>313</v>
      </c>
      <c r="D157" s="6">
        <v>19602000</v>
      </c>
      <c r="E157" s="6">
        <v>19226000</v>
      </c>
      <c r="F157" s="6">
        <v>16275000</v>
      </c>
      <c r="G157" s="6">
        <v>16706000</v>
      </c>
      <c r="H157" s="6">
        <v>16469000</v>
      </c>
      <c r="I157" s="6">
        <v>17672000</v>
      </c>
      <c r="J157" s="6">
        <v>2703000</v>
      </c>
      <c r="K157" s="6">
        <v>5071000</v>
      </c>
      <c r="L157" s="6">
        <v>4538000</v>
      </c>
      <c r="M157" s="6">
        <v>8718000</v>
      </c>
      <c r="N157" s="6">
        <v>10904000</v>
      </c>
      <c r="O157" s="6">
        <v>5437000</v>
      </c>
      <c r="P157" s="6">
        <v>39968000</v>
      </c>
      <c r="Q157" s="6">
        <v>42964000</v>
      </c>
      <c r="R157" s="6">
        <v>44622000</v>
      </c>
      <c r="S157" s="6">
        <v>56902000</v>
      </c>
      <c r="T157" s="6">
        <v>54968000</v>
      </c>
      <c r="U157" s="6">
        <v>38542000</v>
      </c>
    </row>
    <row r="158" spans="1:21" ht="15">
      <c r="A158" s="2" t="s">
        <v>314</v>
      </c>
      <c r="B158" s="5">
        <v>4057044</v>
      </c>
      <c r="C158" s="2" t="s">
        <v>315</v>
      </c>
      <c r="D158" s="6">
        <v>26290000</v>
      </c>
      <c r="E158" s="6">
        <v>19607000</v>
      </c>
      <c r="F158" s="6">
        <v>18251000</v>
      </c>
      <c r="G158" s="6">
        <v>19240000</v>
      </c>
      <c r="H158" s="6">
        <v>20970000</v>
      </c>
      <c r="I158" s="6">
        <v>23241000</v>
      </c>
      <c r="J158" s="6">
        <v>3617000</v>
      </c>
      <c r="K158" s="6">
        <v>3320000</v>
      </c>
      <c r="L158" s="6">
        <v>3382000</v>
      </c>
      <c r="M158" s="6">
        <v>2798000</v>
      </c>
      <c r="N158" s="6">
        <v>2542000</v>
      </c>
      <c r="O158" s="6">
        <v>2499000</v>
      </c>
      <c r="P158" s="6">
        <v>15814000</v>
      </c>
      <c r="Q158" s="6">
        <v>12457000</v>
      </c>
      <c r="R158" s="6">
        <v>12745000</v>
      </c>
      <c r="S158" s="6">
        <v>19228000</v>
      </c>
      <c r="T158" s="6">
        <v>14964000</v>
      </c>
      <c r="U158" s="6">
        <v>11423000</v>
      </c>
    </row>
    <row r="159" spans="1:21" ht="15">
      <c r="A159" s="2" t="s">
        <v>316</v>
      </c>
      <c r="B159" s="5">
        <v>4121470</v>
      </c>
      <c r="C159" s="2" t="s">
        <v>317</v>
      </c>
      <c r="D159" s="6">
        <v>91107000</v>
      </c>
      <c r="E159" s="6">
        <v>64253000</v>
      </c>
      <c r="F159" s="6">
        <v>68263000</v>
      </c>
      <c r="G159" s="6">
        <v>74758000</v>
      </c>
      <c r="H159" s="6">
        <v>80645000</v>
      </c>
      <c r="I159" s="6">
        <v>85438000</v>
      </c>
      <c r="J159" s="6">
        <v>16281000</v>
      </c>
      <c r="K159" s="6">
        <v>14381000</v>
      </c>
      <c r="L159" s="6">
        <v>13305000</v>
      </c>
      <c r="M159" s="6">
        <v>12428000</v>
      </c>
      <c r="N159" s="6">
        <v>11632000</v>
      </c>
      <c r="O159" s="6">
        <v>10939000</v>
      </c>
      <c r="P159" s="6">
        <v>31790000</v>
      </c>
      <c r="Q159" s="6">
        <v>29934000</v>
      </c>
      <c r="R159" s="6">
        <v>28602000</v>
      </c>
      <c r="S159" s="6">
        <v>28319000</v>
      </c>
      <c r="T159" s="6">
        <v>24201000</v>
      </c>
      <c r="U159" s="6">
        <v>22951000</v>
      </c>
    </row>
    <row r="160" spans="1:21" ht="15">
      <c r="A160" s="2" t="s">
        <v>318</v>
      </c>
      <c r="B160" s="5">
        <v>4873611</v>
      </c>
      <c r="C160" s="2" t="s">
        <v>319</v>
      </c>
      <c r="D160" s="6">
        <v>3453000</v>
      </c>
      <c r="E160" s="6">
        <v>16037000</v>
      </c>
      <c r="F160" s="6">
        <v>11211000</v>
      </c>
      <c r="G160" s="6">
        <v>8568000</v>
      </c>
      <c r="H160" s="6">
        <v>8346000</v>
      </c>
      <c r="I160" s="6">
        <v>7633000</v>
      </c>
      <c r="J160" s="6">
        <v>1512000</v>
      </c>
      <c r="K160" s="6">
        <v>1416000</v>
      </c>
      <c r="L160" s="6">
        <v>1389000</v>
      </c>
      <c r="M160" s="6">
        <v>3185000</v>
      </c>
      <c r="N160" s="6">
        <v>3012000</v>
      </c>
      <c r="O160" s="6">
        <v>2564000</v>
      </c>
      <c r="P160" s="6">
        <v>6849000</v>
      </c>
      <c r="Q160" s="6">
        <v>6719000</v>
      </c>
      <c r="R160" s="6">
        <v>6614000</v>
      </c>
      <c r="S160" s="6">
        <v>13017000</v>
      </c>
      <c r="T160" s="6">
        <v>12566000</v>
      </c>
      <c r="U160" s="6">
        <v>11128000</v>
      </c>
    </row>
    <row r="161" spans="1:21" ht="15">
      <c r="A161" s="2" t="s">
        <v>320</v>
      </c>
      <c r="B161" s="5">
        <v>4991395</v>
      </c>
      <c r="C161" s="2" t="s">
        <v>321</v>
      </c>
      <c r="D161" s="6">
        <v>10684000</v>
      </c>
      <c r="E161" s="6">
        <v>8608000</v>
      </c>
      <c r="F161" s="6">
        <v>9115000</v>
      </c>
      <c r="G161" s="6">
        <v>9241000</v>
      </c>
      <c r="H161" s="6">
        <v>9940000</v>
      </c>
      <c r="I161" s="6">
        <v>9984000</v>
      </c>
      <c r="J161" s="6">
        <v>6310000</v>
      </c>
      <c r="K161" s="6">
        <v>5594000</v>
      </c>
      <c r="L161" s="6">
        <v>4859000</v>
      </c>
      <c r="M161" s="6">
        <v>3982000</v>
      </c>
      <c r="N161" s="6">
        <v>3429000</v>
      </c>
      <c r="O161" s="6">
        <v>2597000</v>
      </c>
      <c r="P161" s="6">
        <v>27448000</v>
      </c>
      <c r="Q161" s="6">
        <v>24878000</v>
      </c>
      <c r="R161" s="6">
        <v>23196000</v>
      </c>
      <c r="S161" s="6">
        <v>20752000</v>
      </c>
      <c r="T161" s="6">
        <v>19628000</v>
      </c>
      <c r="U161" s="6">
        <v>17858000</v>
      </c>
    </row>
    <row r="162" spans="1:21" ht="15">
      <c r="A162" s="2" t="s">
        <v>322</v>
      </c>
      <c r="B162" s="5">
        <v>4081627</v>
      </c>
      <c r="C162" s="2" t="s">
        <v>323</v>
      </c>
      <c r="D162" s="6">
        <v>7182000</v>
      </c>
      <c r="E162" s="6">
        <v>8217000</v>
      </c>
      <c r="F162" s="6">
        <v>9432000</v>
      </c>
      <c r="G162" s="6">
        <v>9420000</v>
      </c>
      <c r="H162" s="6">
        <v>8228000</v>
      </c>
      <c r="I162" s="6">
        <v>7863000</v>
      </c>
      <c r="J162" s="6">
        <v>2714000</v>
      </c>
      <c r="K162" s="6">
        <v>2586000</v>
      </c>
      <c r="L162" s="6">
        <v>2344000</v>
      </c>
      <c r="M162" s="6">
        <v>2792000</v>
      </c>
      <c r="N162" s="6">
        <v>3460000</v>
      </c>
      <c r="O162" s="6">
        <v>3226000</v>
      </c>
      <c r="P162" s="6">
        <v>11100000</v>
      </c>
      <c r="Q162" s="6">
        <v>10283000</v>
      </c>
      <c r="R162" s="6">
        <v>10112000</v>
      </c>
      <c r="S162" s="6">
        <v>9795000</v>
      </c>
      <c r="T162" s="6">
        <v>10420000</v>
      </c>
      <c r="U162" s="6">
        <v>8894000</v>
      </c>
    </row>
    <row r="163" spans="1:21" ht="15">
      <c r="A163" s="2" t="s">
        <v>324</v>
      </c>
      <c r="B163" s="5">
        <v>4190757</v>
      </c>
      <c r="C163" s="2" t="s">
        <v>325</v>
      </c>
      <c r="D163" s="6">
        <v>30962466</v>
      </c>
      <c r="E163" s="6">
        <v>2523630</v>
      </c>
      <c r="F163" s="6">
        <v>1647795</v>
      </c>
      <c r="G163" s="6">
        <v>25915749</v>
      </c>
      <c r="H163" s="6">
        <v>26202622</v>
      </c>
      <c r="I163" s="6">
        <v>30343266</v>
      </c>
      <c r="J163" s="6">
        <v>1494414</v>
      </c>
      <c r="K163" s="6">
        <v>1626123</v>
      </c>
      <c r="L163" s="6">
        <v>2081113</v>
      </c>
      <c r="M163" s="6">
        <v>3408444</v>
      </c>
      <c r="N163" s="6">
        <v>4517924</v>
      </c>
      <c r="O163" s="6">
        <v>615389</v>
      </c>
      <c r="P163" s="6">
        <v>15004989</v>
      </c>
      <c r="Q163" s="6">
        <v>15825516</v>
      </c>
      <c r="R163" s="6">
        <v>17015598</v>
      </c>
      <c r="S163" s="6">
        <v>18634246</v>
      </c>
      <c r="T163" s="6">
        <v>19818678</v>
      </c>
      <c r="U163" s="6">
        <v>1887907</v>
      </c>
    </row>
    <row r="164" spans="1:21" ht="15">
      <c r="A164" s="2" t="s">
        <v>326</v>
      </c>
      <c r="B164" s="5">
        <v>4051243</v>
      </c>
      <c r="C164" s="2" t="s">
        <v>327</v>
      </c>
      <c r="D164" s="6">
        <v>8997500</v>
      </c>
      <c r="E164" s="6">
        <v>7112700</v>
      </c>
      <c r="F164" s="6">
        <v>9155900</v>
      </c>
      <c r="G164" s="6">
        <v>9026500</v>
      </c>
      <c r="H164" s="6">
        <v>8733400</v>
      </c>
      <c r="I164" s="6">
        <v>8282700</v>
      </c>
      <c r="J164" s="6">
        <v>3928000</v>
      </c>
      <c r="K164" s="6">
        <v>3605500</v>
      </c>
      <c r="L164" s="6">
        <v>3109700</v>
      </c>
      <c r="M164" s="6">
        <v>2786700</v>
      </c>
      <c r="N164" s="6">
        <v>2709300</v>
      </c>
      <c r="O164" s="6">
        <v>2496800</v>
      </c>
      <c r="P164" s="6">
        <v>16081200</v>
      </c>
      <c r="Q164" s="6">
        <v>15741400</v>
      </c>
      <c r="R164" s="6">
        <v>15320200</v>
      </c>
      <c r="S164" s="6">
        <v>14187800</v>
      </c>
      <c r="T164" s="6">
        <v>12733100</v>
      </c>
      <c r="U164" s="6">
        <v>11790200</v>
      </c>
    </row>
    <row r="165" spans="1:21" ht="15">
      <c r="A165" s="2" t="s">
        <v>328</v>
      </c>
      <c r="B165" s="5">
        <v>4056943</v>
      </c>
      <c r="C165" s="2" t="s">
        <v>329</v>
      </c>
      <c r="D165" s="6">
        <v>41549000</v>
      </c>
      <c r="E165" s="6">
        <v>24147000</v>
      </c>
      <c r="F165" s="6">
        <v>29533000</v>
      </c>
      <c r="G165" s="6">
        <v>33096000</v>
      </c>
      <c r="H165" s="6">
        <v>35311000</v>
      </c>
      <c r="I165" s="6">
        <v>37761000</v>
      </c>
      <c r="J165" s="6">
        <v>8247000</v>
      </c>
      <c r="K165" s="6">
        <v>6322000</v>
      </c>
      <c r="L165" s="6">
        <v>5885000</v>
      </c>
      <c r="M165" s="6">
        <v>5484000</v>
      </c>
      <c r="N165" s="6">
        <v>5147000</v>
      </c>
      <c r="O165" s="6">
        <v>4543000</v>
      </c>
      <c r="P165" s="6">
        <v>19317000</v>
      </c>
      <c r="Q165" s="6">
        <v>17599000</v>
      </c>
      <c r="R165" s="6">
        <v>16338000</v>
      </c>
      <c r="S165" s="6">
        <v>17220000</v>
      </c>
      <c r="T165" s="6">
        <v>14905000</v>
      </c>
      <c r="U165" s="6">
        <v>13578000</v>
      </c>
    </row>
    <row r="166" spans="1:21" ht="15">
      <c r="A166" s="2" t="s">
        <v>330</v>
      </c>
      <c r="B166" s="5">
        <v>4812781</v>
      </c>
      <c r="C166" s="2" t="s">
        <v>331</v>
      </c>
      <c r="D166" s="6">
        <v>705400</v>
      </c>
      <c r="E166" s="6">
        <v>694900</v>
      </c>
      <c r="F166" s="6">
        <v>690300</v>
      </c>
      <c r="G166" s="6">
        <v>691300</v>
      </c>
      <c r="H166" s="6">
        <v>685100</v>
      </c>
      <c r="I166" s="6">
        <v>700000</v>
      </c>
      <c r="J166" s="6">
        <v>1794500</v>
      </c>
      <c r="K166" s="6">
        <v>1623900</v>
      </c>
      <c r="L166" s="6">
        <v>1609400</v>
      </c>
      <c r="M166" s="6">
        <v>1681400</v>
      </c>
      <c r="N166" s="6">
        <v>1721300</v>
      </c>
      <c r="O166" s="6">
        <v>1423400</v>
      </c>
      <c r="P166" s="6">
        <v>6067600</v>
      </c>
      <c r="Q166" s="6">
        <v>5439500</v>
      </c>
      <c r="R166" s="6">
        <v>5010000</v>
      </c>
      <c r="S166" s="6">
        <v>4464000</v>
      </c>
      <c r="T166" s="6">
        <v>5232500</v>
      </c>
      <c r="U166" s="6">
        <v>4386300</v>
      </c>
    </row>
    <row r="167" spans="1:21" ht="15">
      <c r="A167" s="2" t="s">
        <v>332</v>
      </c>
      <c r="B167" s="5">
        <v>4100183</v>
      </c>
      <c r="C167" s="2" t="s">
        <v>333</v>
      </c>
      <c r="D167" s="6">
        <v>2218000</v>
      </c>
      <c r="E167" s="6">
        <v>1220000</v>
      </c>
      <c r="F167" s="6">
        <v>2154000</v>
      </c>
      <c r="G167" s="6">
        <v>2231000</v>
      </c>
      <c r="H167" s="6">
        <v>2223000</v>
      </c>
      <c r="I167" s="6">
        <v>2196000</v>
      </c>
      <c r="J167" s="6">
        <v>1938000</v>
      </c>
      <c r="K167" s="6">
        <v>1982000</v>
      </c>
      <c r="L167" s="6">
        <v>1910000</v>
      </c>
      <c r="M167" s="6">
        <v>1612000</v>
      </c>
      <c r="N167" s="6">
        <v>1225000</v>
      </c>
      <c r="O167" s="6">
        <v>1598000</v>
      </c>
      <c r="P167" s="6">
        <v>7463000</v>
      </c>
      <c r="Q167" s="6">
        <v>7562000</v>
      </c>
      <c r="R167" s="6">
        <v>7426000</v>
      </c>
      <c r="S167" s="6">
        <v>6991000</v>
      </c>
      <c r="T167" s="6">
        <v>5629000</v>
      </c>
      <c r="U167" s="6">
        <v>5537000</v>
      </c>
    </row>
    <row r="168" spans="1:21" ht="15">
      <c r="A168" s="2" t="s">
        <v>334</v>
      </c>
      <c r="B168" s="5">
        <v>4072364</v>
      </c>
      <c r="C168" s="2" t="s">
        <v>335</v>
      </c>
      <c r="D168" s="6">
        <v>32750000</v>
      </c>
      <c r="E168" s="6">
        <v>20992000</v>
      </c>
      <c r="F168" s="6">
        <v>24028000</v>
      </c>
      <c r="G168" s="6">
        <v>25046000</v>
      </c>
      <c r="H168" s="6">
        <v>25969000</v>
      </c>
      <c r="I168" s="6">
        <v>32193000</v>
      </c>
      <c r="J168" s="6">
        <v>9040000</v>
      </c>
      <c r="K168" s="6">
        <v>10522000</v>
      </c>
      <c r="L168" s="6">
        <v>10949000</v>
      </c>
      <c r="M168" s="6">
        <v>9538000</v>
      </c>
      <c r="N168" s="6">
        <v>9844000</v>
      </c>
      <c r="O168" s="6">
        <v>9002000</v>
      </c>
      <c r="P168" s="6">
        <v>199126000</v>
      </c>
      <c r="Q168" s="6">
        <v>176810000</v>
      </c>
      <c r="R168" s="6">
        <v>171340000</v>
      </c>
      <c r="S168" s="6">
        <v>156599000</v>
      </c>
      <c r="T168" s="6">
        <v>138643000</v>
      </c>
      <c r="U168" s="6">
        <v>121868000</v>
      </c>
    </row>
    <row r="169" spans="1:21" ht="15">
      <c r="A169" s="2" t="s">
        <v>336</v>
      </c>
      <c r="B169" s="5">
        <v>4059821</v>
      </c>
      <c r="C169" s="2" t="s">
        <v>337</v>
      </c>
      <c r="D169" s="6">
        <v>43865000</v>
      </c>
      <c r="E169" s="6">
        <v>16885800</v>
      </c>
      <c r="F169" s="6">
        <v>16926500</v>
      </c>
      <c r="G169" s="6">
        <v>16372900</v>
      </c>
      <c r="H169" s="6">
        <v>26464700</v>
      </c>
      <c r="I169" s="6">
        <v>34791000</v>
      </c>
      <c r="J169" s="6">
        <v>31693000</v>
      </c>
      <c r="K169" s="6">
        <v>18807000</v>
      </c>
      <c r="L169" s="6">
        <v>11852000</v>
      </c>
      <c r="M169" s="6">
        <v>10175800</v>
      </c>
      <c r="N169" s="6">
        <v>9820300</v>
      </c>
      <c r="O169" s="6">
        <v>8534700</v>
      </c>
      <c r="P169" s="6">
        <v>65179000</v>
      </c>
      <c r="Q169" s="6">
        <v>45043000</v>
      </c>
      <c r="R169" s="6">
        <v>34124000</v>
      </c>
      <c r="S169" s="6">
        <v>28541400</v>
      </c>
      <c r="T169" s="6">
        <v>28318400</v>
      </c>
      <c r="U169" s="6">
        <v>24539800</v>
      </c>
    </row>
    <row r="170" spans="1:21" ht="15">
      <c r="A170" s="2" t="s">
        <v>338</v>
      </c>
      <c r="B170" s="5">
        <v>4279452</v>
      </c>
      <c r="C170" s="2" t="s">
        <v>339</v>
      </c>
      <c r="D170" s="6">
        <v>474557</v>
      </c>
      <c r="E170" s="6">
        <v>535523</v>
      </c>
      <c r="F170" s="6">
        <v>540335</v>
      </c>
      <c r="G170" s="6">
        <v>535174</v>
      </c>
      <c r="H170" s="6">
        <v>339969</v>
      </c>
      <c r="I170" s="6">
        <v>348917</v>
      </c>
      <c r="J170" s="6">
        <v>1764573</v>
      </c>
      <c r="K170" s="6">
        <v>1479437</v>
      </c>
      <c r="L170" s="6">
        <v>995952</v>
      </c>
      <c r="M170" s="6">
        <v>677799</v>
      </c>
      <c r="N170" s="6">
        <v>646861</v>
      </c>
      <c r="O170" s="6">
        <v>601449</v>
      </c>
      <c r="P170" s="6">
        <v>16986422</v>
      </c>
      <c r="Q170" s="6">
        <v>14566116</v>
      </c>
      <c r="R170" s="6">
        <v>12582873</v>
      </c>
      <c r="S170" s="6">
        <v>11076120</v>
      </c>
      <c r="T170" s="6">
        <v>9903580</v>
      </c>
      <c r="U170" s="6">
        <v>8797061</v>
      </c>
    </row>
    <row r="171" spans="1:21" ht="15">
      <c r="A171" s="2" t="s">
        <v>340</v>
      </c>
      <c r="B171" s="5">
        <v>4136907</v>
      </c>
      <c r="C171" s="2" t="s">
        <v>341</v>
      </c>
      <c r="D171" s="6">
        <v>13759000</v>
      </c>
      <c r="E171" s="6">
        <v>8007000</v>
      </c>
      <c r="F171" s="6">
        <v>7233000</v>
      </c>
      <c r="G171" s="6">
        <v>10814000</v>
      </c>
      <c r="H171" s="6">
        <v>8705000</v>
      </c>
      <c r="I171" s="6">
        <v>8356000</v>
      </c>
      <c r="J171" s="6">
        <v>5843000</v>
      </c>
      <c r="K171" s="6">
        <v>5571000</v>
      </c>
      <c r="L171" s="6">
        <v>4206000</v>
      </c>
      <c r="M171" s="6">
        <v>3222000</v>
      </c>
      <c r="N171" s="6">
        <v>2694000</v>
      </c>
      <c r="O171" s="6">
        <v>3577000</v>
      </c>
      <c r="P171" s="6">
        <v>18016000</v>
      </c>
      <c r="Q171" s="6">
        <v>17492000</v>
      </c>
      <c r="R171" s="6">
        <v>15165000</v>
      </c>
      <c r="S171" s="6">
        <v>13804000</v>
      </c>
      <c r="T171" s="6">
        <v>12932000</v>
      </c>
      <c r="U171" s="6">
        <v>16785000</v>
      </c>
    </row>
    <row r="172" spans="1:21" ht="15">
      <c r="A172" s="2" t="s">
        <v>342</v>
      </c>
      <c r="B172" s="5">
        <v>4007889</v>
      </c>
      <c r="C172" s="2" t="s">
        <v>343</v>
      </c>
      <c r="D172" s="6">
        <v>31328863</v>
      </c>
      <c r="E172" s="6">
        <v>24291973</v>
      </c>
      <c r="F172" s="6">
        <v>27366186</v>
      </c>
      <c r="G172" s="6">
        <v>27020321</v>
      </c>
      <c r="H172" s="6">
        <v>26542369</v>
      </c>
      <c r="I172" s="6">
        <v>29313872</v>
      </c>
      <c r="J172" s="6">
        <v>5579091</v>
      </c>
      <c r="K172" s="6">
        <v>5048772</v>
      </c>
      <c r="L172" s="6">
        <v>4734753</v>
      </c>
      <c r="M172" s="6">
        <v>3868953</v>
      </c>
      <c r="N172" s="6">
        <v>4000283</v>
      </c>
      <c r="O172" s="6">
        <v>3609040</v>
      </c>
      <c r="P172" s="6">
        <v>12946686</v>
      </c>
      <c r="Q172" s="6">
        <v>11879653</v>
      </c>
      <c r="R172" s="6">
        <v>12147412</v>
      </c>
      <c r="S172" s="6">
        <v>13764237</v>
      </c>
      <c r="T172" s="6">
        <v>11742896</v>
      </c>
      <c r="U172" s="6">
        <v>10113636</v>
      </c>
    </row>
    <row r="173" spans="1:21" ht="15">
      <c r="A173" s="2" t="s">
        <v>344</v>
      </c>
      <c r="B173" s="5">
        <v>4075407</v>
      </c>
      <c r="C173" s="2" t="s">
        <v>345</v>
      </c>
      <c r="D173" s="6">
        <v>9135000</v>
      </c>
      <c r="E173" s="6">
        <v>6752000</v>
      </c>
      <c r="F173" s="6">
        <v>5907000</v>
      </c>
      <c r="G173" s="6">
        <v>5958000</v>
      </c>
      <c r="H173" s="6">
        <v>4800000</v>
      </c>
      <c r="I173" s="6">
        <v>5792000</v>
      </c>
      <c r="J173" s="6">
        <v>11724000</v>
      </c>
      <c r="K173" s="6">
        <v>12565000</v>
      </c>
      <c r="L173" s="6">
        <v>13202000</v>
      </c>
      <c r="M173" s="6">
        <v>13791000</v>
      </c>
      <c r="N173" s="6">
        <v>10103000</v>
      </c>
      <c r="O173" s="6">
        <v>5003000</v>
      </c>
      <c r="P173" s="6">
        <v>22654000</v>
      </c>
      <c r="Q173" s="6">
        <v>23478000</v>
      </c>
      <c r="R173" s="6">
        <v>23273000</v>
      </c>
      <c r="S173" s="6">
        <v>29610000</v>
      </c>
      <c r="T173" s="6">
        <v>19777000</v>
      </c>
      <c r="U173" s="6">
        <v>9934000</v>
      </c>
    </row>
    <row r="174" spans="1:21" ht="15">
      <c r="A174" s="2" t="s">
        <v>346</v>
      </c>
      <c r="B174" s="5">
        <v>4309704</v>
      </c>
      <c r="C174" s="2" t="s">
        <v>347</v>
      </c>
      <c r="D174" s="6">
        <v>143704</v>
      </c>
      <c r="E174" s="6">
        <v>266401</v>
      </c>
      <c r="F174" s="6">
        <v>239158</v>
      </c>
      <c r="G174" s="6">
        <v>193223</v>
      </c>
      <c r="H174" s="6">
        <v>171945</v>
      </c>
      <c r="I174" s="6">
        <v>163254</v>
      </c>
      <c r="J174" s="6">
        <v>707230</v>
      </c>
      <c r="K174" s="6">
        <v>692928</v>
      </c>
      <c r="L174" s="6">
        <v>652478</v>
      </c>
      <c r="M174" s="6">
        <v>799052</v>
      </c>
      <c r="N174" s="6">
        <v>628203</v>
      </c>
      <c r="O174" s="6">
        <v>441130</v>
      </c>
      <c r="P174" s="6">
        <v>5457056</v>
      </c>
      <c r="Q174" s="6">
        <v>4727940</v>
      </c>
      <c r="R174" s="6">
        <v>4690540</v>
      </c>
      <c r="S174" s="6">
        <v>4824698</v>
      </c>
      <c r="T174" s="6">
        <v>3758144</v>
      </c>
      <c r="U174" s="6">
        <v>2659478</v>
      </c>
    </row>
    <row r="175" spans="1:21" ht="15">
      <c r="A175" s="2" t="s">
        <v>348</v>
      </c>
      <c r="B175" s="5">
        <v>4004341</v>
      </c>
      <c r="C175" s="2" t="s">
        <v>349</v>
      </c>
      <c r="D175" s="6">
        <v>7915794</v>
      </c>
      <c r="E175" s="6">
        <v>4975366</v>
      </c>
      <c r="F175" s="6">
        <v>5643772</v>
      </c>
      <c r="G175" s="6">
        <v>5726965</v>
      </c>
      <c r="H175" s="6">
        <v>5853690</v>
      </c>
      <c r="I175" s="6">
        <v>9424709</v>
      </c>
      <c r="J175" s="6">
        <v>6091043</v>
      </c>
      <c r="K175" s="6">
        <v>2506660</v>
      </c>
      <c r="L175" s="6">
        <v>4239024</v>
      </c>
      <c r="M175" s="6">
        <v>4596698</v>
      </c>
      <c r="N175" s="6">
        <v>701218</v>
      </c>
      <c r="O175" s="6">
        <v>1035835</v>
      </c>
      <c r="P175" s="6">
        <v>8180719</v>
      </c>
      <c r="Q175" s="6">
        <v>5041956</v>
      </c>
      <c r="R175" s="6">
        <v>5069982</v>
      </c>
      <c r="S175" s="6">
        <v>12140621</v>
      </c>
      <c r="T175" s="6">
        <v>6839705</v>
      </c>
      <c r="U175" s="6">
        <v>2612253</v>
      </c>
    </row>
    <row r="176" spans="1:21" ht="15">
      <c r="A176" s="2" t="s">
        <v>350</v>
      </c>
      <c r="B176" s="5">
        <v>4040823</v>
      </c>
      <c r="C176" s="2" t="s">
        <v>351</v>
      </c>
      <c r="D176" s="6">
        <v>5242200</v>
      </c>
      <c r="E176" s="6">
        <v>4378400</v>
      </c>
      <c r="F176" s="6">
        <v>5294900</v>
      </c>
      <c r="G176" s="6">
        <v>5787300</v>
      </c>
      <c r="H176" s="6">
        <v>5711200</v>
      </c>
      <c r="I176" s="6">
        <v>5010500</v>
      </c>
      <c r="J176" s="6">
        <v>1868600</v>
      </c>
      <c r="K176" s="6">
        <v>1757400</v>
      </c>
      <c r="L176" s="6">
        <v>1586300</v>
      </c>
      <c r="M176" s="6">
        <v>1658900</v>
      </c>
      <c r="N176" s="6">
        <v>1627800</v>
      </c>
      <c r="O176" s="6">
        <v>1092100</v>
      </c>
      <c r="P176" s="6">
        <v>6074500</v>
      </c>
      <c r="Q176" s="6">
        <v>5681100</v>
      </c>
      <c r="R176" s="6">
        <v>5265200</v>
      </c>
      <c r="S176" s="6">
        <v>5122200</v>
      </c>
      <c r="T176" s="6">
        <v>4923900</v>
      </c>
      <c r="U176" s="6">
        <v>4127500</v>
      </c>
    </row>
    <row r="177" spans="1:21" ht="15">
      <c r="A177" s="2" t="s">
        <v>352</v>
      </c>
      <c r="B177" s="5">
        <v>4570011</v>
      </c>
      <c r="C177" s="2" t="s">
        <v>353</v>
      </c>
      <c r="D177" s="6">
        <v>22726000</v>
      </c>
      <c r="E177" s="6">
        <v>13923339</v>
      </c>
      <c r="F177" s="6">
        <v>14992526</v>
      </c>
      <c r="G177" s="6">
        <v>16469554</v>
      </c>
      <c r="H177" s="6">
        <v>17454000</v>
      </c>
      <c r="I177" s="6">
        <v>18961000</v>
      </c>
      <c r="J177" s="6">
        <v>4072000</v>
      </c>
      <c r="K177" s="6">
        <v>3621000</v>
      </c>
      <c r="L177" s="6">
        <v>3301000</v>
      </c>
      <c r="M177" s="6">
        <v>2773000</v>
      </c>
      <c r="N177" s="6">
        <v>2407139</v>
      </c>
      <c r="O177" s="6">
        <v>2168616</v>
      </c>
      <c r="P177" s="6">
        <v>9260000</v>
      </c>
      <c r="Q177" s="6">
        <v>8737000</v>
      </c>
      <c r="R177" s="6">
        <v>8197000</v>
      </c>
      <c r="S177" s="6">
        <v>7117000</v>
      </c>
      <c r="T177" s="6">
        <v>6259782</v>
      </c>
      <c r="U177" s="6">
        <v>5622593</v>
      </c>
    </row>
    <row r="178" spans="1:21" ht="15">
      <c r="A178" s="2" t="s">
        <v>354</v>
      </c>
      <c r="B178" s="5">
        <v>103054</v>
      </c>
      <c r="C178" s="2" t="s">
        <v>355</v>
      </c>
      <c r="D178" s="6">
        <v>8479585</v>
      </c>
      <c r="E178" s="6">
        <v>8373386</v>
      </c>
      <c r="F178" s="6">
        <v>8653788</v>
      </c>
      <c r="G178" s="6">
        <v>7734470</v>
      </c>
      <c r="H178" s="6">
        <v>7702090</v>
      </c>
      <c r="I178" s="6">
        <v>8426642</v>
      </c>
      <c r="J178" s="6">
        <v>1882164</v>
      </c>
      <c r="K178" s="6">
        <v>1825835</v>
      </c>
      <c r="L178" s="6">
        <v>1768536</v>
      </c>
      <c r="M178" s="6">
        <v>1695280</v>
      </c>
      <c r="N178" s="6">
        <v>1458545</v>
      </c>
      <c r="O178" s="6">
        <v>1606944</v>
      </c>
      <c r="P178" s="6">
        <v>3093959</v>
      </c>
      <c r="Q178" s="6">
        <v>2980108</v>
      </c>
      <c r="R178" s="6">
        <v>2873964</v>
      </c>
      <c r="S178" s="6">
        <v>2735180</v>
      </c>
      <c r="T178" s="6">
        <v>2463997</v>
      </c>
      <c r="U178" s="6">
        <v>2571705</v>
      </c>
    </row>
    <row r="179" spans="1:21" ht="15">
      <c r="A179" s="2" t="s">
        <v>356</v>
      </c>
      <c r="B179" s="5">
        <v>103619</v>
      </c>
      <c r="C179" s="2" t="s">
        <v>357</v>
      </c>
      <c r="D179" s="6">
        <v>61936</v>
      </c>
      <c r="E179" s="6">
        <v>95864</v>
      </c>
      <c r="F179" s="6">
        <v>93832</v>
      </c>
      <c r="G179" s="6">
        <v>0</v>
      </c>
      <c r="H179" s="6">
        <v>0</v>
      </c>
      <c r="I179" s="6">
        <v>7513</v>
      </c>
      <c r="J179" s="6">
        <v>808993</v>
      </c>
      <c r="K179" s="6">
        <v>766338</v>
      </c>
      <c r="L179" s="6">
        <v>600232</v>
      </c>
      <c r="M179" s="6">
        <v>428410</v>
      </c>
      <c r="N179" s="6">
        <v>351224</v>
      </c>
      <c r="O179" s="6">
        <v>357717</v>
      </c>
      <c r="P179" s="6">
        <v>4067258</v>
      </c>
      <c r="Q179" s="6">
        <v>3795115</v>
      </c>
      <c r="R179" s="6">
        <v>3268940</v>
      </c>
      <c r="S179" s="6">
        <v>2840124</v>
      </c>
      <c r="T179" s="6">
        <v>2633977</v>
      </c>
      <c r="U179" s="6">
        <v>2536489</v>
      </c>
    </row>
    <row r="180" spans="1:21" ht="15">
      <c r="A180" s="2" t="s">
        <v>358</v>
      </c>
      <c r="B180" s="5">
        <v>103163</v>
      </c>
      <c r="C180" s="2" t="s">
        <v>359</v>
      </c>
      <c r="D180" s="6">
        <v>6851756</v>
      </c>
      <c r="E180" s="6">
        <v>6327972</v>
      </c>
      <c r="F180" s="6">
        <v>6358085</v>
      </c>
      <c r="G180" s="6">
        <v>6026880</v>
      </c>
      <c r="H180" s="6">
        <v>6270826</v>
      </c>
      <c r="I180" s="6">
        <v>6654090</v>
      </c>
      <c r="J180" s="6">
        <v>1255432</v>
      </c>
      <c r="K180" s="6">
        <v>1159664</v>
      </c>
      <c r="L180" s="6">
        <v>1118236</v>
      </c>
      <c r="M180" s="6">
        <v>1066162</v>
      </c>
      <c r="N180" s="6">
        <v>1018789</v>
      </c>
      <c r="O180" s="6">
        <v>1020308</v>
      </c>
      <c r="P180" s="6">
        <v>1935443</v>
      </c>
      <c r="Q180" s="6">
        <v>1826382</v>
      </c>
      <c r="R180" s="6">
        <v>1713656</v>
      </c>
      <c r="S180" s="6">
        <v>1632844</v>
      </c>
      <c r="T180" s="6">
        <v>1552277</v>
      </c>
      <c r="U180" s="6">
        <v>1562260</v>
      </c>
    </row>
    <row r="181" spans="1:21" ht="15">
      <c r="A181" s="2" t="s">
        <v>360</v>
      </c>
      <c r="B181" s="5">
        <v>4050636</v>
      </c>
      <c r="C181" s="2" t="s">
        <v>361</v>
      </c>
      <c r="D181" s="6">
        <v>3785000</v>
      </c>
      <c r="E181" s="6">
        <v>2075684</v>
      </c>
      <c r="F181" s="6">
        <v>3247000</v>
      </c>
      <c r="G181" s="6">
        <v>3231000</v>
      </c>
      <c r="H181" s="6">
        <v>3529000</v>
      </c>
      <c r="I181" s="6">
        <v>3713000</v>
      </c>
      <c r="J181" s="7" t="s">
        <v>61</v>
      </c>
      <c r="K181" s="7" t="s">
        <v>61</v>
      </c>
      <c r="L181" s="7" t="s">
        <v>61</v>
      </c>
      <c r="M181" s="7" t="s">
        <v>61</v>
      </c>
      <c r="N181" s="7" t="s">
        <v>61</v>
      </c>
      <c r="O181" s="7" t="s">
        <v>61</v>
      </c>
      <c r="P181" s="6">
        <v>17541000</v>
      </c>
      <c r="Q181" s="6">
        <v>17160000</v>
      </c>
      <c r="R181" s="6">
        <v>14601000</v>
      </c>
      <c r="S181" s="6">
        <v>12161000</v>
      </c>
      <c r="T181" s="6">
        <v>11827700</v>
      </c>
      <c r="U181" s="6">
        <v>9584700</v>
      </c>
    </row>
    <row r="182" spans="1:21" ht="15">
      <c r="A182" s="2" t="s">
        <v>362</v>
      </c>
      <c r="B182" s="5">
        <v>8603803</v>
      </c>
      <c r="C182" s="2" t="s">
        <v>363</v>
      </c>
      <c r="D182" s="6">
        <v>15393200</v>
      </c>
      <c r="E182" s="6">
        <v>10321100</v>
      </c>
      <c r="F182" s="6">
        <v>11165500</v>
      </c>
      <c r="G182" s="6">
        <v>12036100</v>
      </c>
      <c r="H182" s="6">
        <v>13147100</v>
      </c>
      <c r="I182" s="6">
        <v>14069500</v>
      </c>
      <c r="J182" s="6">
        <v>2741400</v>
      </c>
      <c r="K182" s="6">
        <v>2621900</v>
      </c>
      <c r="L182" s="6">
        <v>2370100</v>
      </c>
      <c r="M182" s="6">
        <v>2224100</v>
      </c>
      <c r="N182" s="6">
        <v>2247100</v>
      </c>
      <c r="O182" s="6">
        <v>2023700</v>
      </c>
      <c r="P182" s="6">
        <v>5961600</v>
      </c>
      <c r="Q182" s="6">
        <v>5847300</v>
      </c>
      <c r="R182" s="6">
        <v>5508200</v>
      </c>
      <c r="S182" s="6">
        <v>5859100</v>
      </c>
      <c r="T182" s="6">
        <v>5586700</v>
      </c>
      <c r="U182" s="6">
        <v>4913400</v>
      </c>
    </row>
    <row r="183" spans="1:21" ht="15">
      <c r="A183" s="2" t="s">
        <v>364</v>
      </c>
      <c r="B183" s="5">
        <v>4057052</v>
      </c>
      <c r="C183" s="2" t="s">
        <v>365</v>
      </c>
      <c r="D183" s="6">
        <v>30243998</v>
      </c>
      <c r="E183" s="6">
        <v>18086309</v>
      </c>
      <c r="F183" s="6">
        <v>20325536</v>
      </c>
      <c r="G183" s="6">
        <v>23054925</v>
      </c>
      <c r="H183" s="6">
        <v>26880577</v>
      </c>
      <c r="I183" s="6">
        <v>29238652</v>
      </c>
      <c r="J183" s="6">
        <v>4696467</v>
      </c>
      <c r="K183" s="6">
        <v>3957612</v>
      </c>
      <c r="L183" s="6">
        <v>3838075</v>
      </c>
      <c r="M183" s="6">
        <v>3612200</v>
      </c>
      <c r="N183" s="6">
        <v>3180729</v>
      </c>
      <c r="O183" s="6">
        <v>3014514</v>
      </c>
      <c r="P183" s="6">
        <v>13547244</v>
      </c>
      <c r="Q183" s="6">
        <v>11900809</v>
      </c>
      <c r="R183" s="6">
        <v>11910705</v>
      </c>
      <c r="S183" s="6">
        <v>12289336</v>
      </c>
      <c r="T183" s="6">
        <v>9863085</v>
      </c>
      <c r="U183" s="6">
        <v>8904430</v>
      </c>
    </row>
    <row r="184" spans="1:21" ht="15">
      <c r="A184" s="2" t="s">
        <v>366</v>
      </c>
      <c r="B184" s="5">
        <v>4057056</v>
      </c>
      <c r="C184" s="2" t="s">
        <v>367</v>
      </c>
      <c r="D184" s="6">
        <v>50249000</v>
      </c>
      <c r="E184" s="6">
        <v>40635000</v>
      </c>
      <c r="F184" s="6">
        <v>34855000</v>
      </c>
      <c r="G184" s="6">
        <v>40363000</v>
      </c>
      <c r="H184" s="6">
        <v>44340000</v>
      </c>
      <c r="I184" s="6">
        <v>46905000</v>
      </c>
      <c r="J184" s="6">
        <v>8142000</v>
      </c>
      <c r="K184" s="6">
        <v>7189000</v>
      </c>
      <c r="L184" s="6">
        <v>6781000</v>
      </c>
      <c r="M184" s="6">
        <v>6243000</v>
      </c>
      <c r="N184" s="6">
        <v>9752000</v>
      </c>
      <c r="O184" s="6">
        <v>8170000</v>
      </c>
      <c r="P184" s="6">
        <v>24258000</v>
      </c>
      <c r="Q184" s="6">
        <v>23028000</v>
      </c>
      <c r="R184" s="6">
        <v>21727000</v>
      </c>
      <c r="S184" s="6">
        <v>19078000</v>
      </c>
      <c r="T184" s="6">
        <v>17938000</v>
      </c>
      <c r="U184" s="6">
        <v>16663000</v>
      </c>
    </row>
    <row r="185" spans="1:21" ht="15">
      <c r="A185" s="2" t="s">
        <v>368</v>
      </c>
      <c r="B185" s="5">
        <v>4010492</v>
      </c>
      <c r="C185" s="2" t="s">
        <v>369</v>
      </c>
      <c r="D185" s="6">
        <v>5108000</v>
      </c>
      <c r="E185" s="6">
        <v>9135000</v>
      </c>
      <c r="F185" s="6">
        <v>2316000</v>
      </c>
      <c r="G185" s="6">
        <v>3212000</v>
      </c>
      <c r="H185" s="6">
        <v>2127000</v>
      </c>
      <c r="I185" s="6">
        <v>5825000</v>
      </c>
      <c r="J185" s="6">
        <v>5615000</v>
      </c>
      <c r="K185" s="6">
        <v>1247000</v>
      </c>
      <c r="L185" s="6">
        <v>3728000</v>
      </c>
      <c r="M185" s="6">
        <v>5279000</v>
      </c>
      <c r="N185" s="6">
        <v>1807000</v>
      </c>
      <c r="O185" s="6">
        <v>1383000</v>
      </c>
      <c r="P185" s="6">
        <v>11639000</v>
      </c>
      <c r="Q185" s="6">
        <v>4259000</v>
      </c>
      <c r="R185" s="6">
        <v>6047000</v>
      </c>
      <c r="S185" s="6">
        <v>14123000</v>
      </c>
      <c r="T185" s="6">
        <v>7301000</v>
      </c>
      <c r="U185" s="6">
        <v>4614000</v>
      </c>
    </row>
    <row r="186" spans="1:21" ht="15">
      <c r="A186" s="2" t="s">
        <v>370</v>
      </c>
      <c r="B186" s="5">
        <v>4122573</v>
      </c>
      <c r="C186" s="2" t="s">
        <v>371</v>
      </c>
      <c r="D186" s="6">
        <v>6487000</v>
      </c>
      <c r="E186" s="6">
        <v>8855000</v>
      </c>
      <c r="F186" s="6">
        <v>8887000</v>
      </c>
      <c r="G186" s="6">
        <v>6629000</v>
      </c>
      <c r="H186" s="6">
        <v>6633000</v>
      </c>
      <c r="I186" s="6">
        <v>6594000</v>
      </c>
      <c r="J186" s="6">
        <v>2301000</v>
      </c>
      <c r="K186" s="6">
        <v>1831000</v>
      </c>
      <c r="L186" s="6">
        <v>1632000</v>
      </c>
      <c r="M186" s="6">
        <v>1384000</v>
      </c>
      <c r="N186" s="6">
        <v>488000</v>
      </c>
      <c r="O186" s="6">
        <v>-1227000</v>
      </c>
      <c r="P186" s="6">
        <v>14733000</v>
      </c>
      <c r="Q186" s="6">
        <v>13691000</v>
      </c>
      <c r="R186" s="6">
        <v>12839000</v>
      </c>
      <c r="S186" s="6">
        <v>11667000</v>
      </c>
      <c r="T186" s="6">
        <v>8598000</v>
      </c>
      <c r="U186" s="6">
        <v>5199000</v>
      </c>
    </row>
    <row r="187" spans="1:21" ht="15">
      <c r="A187" s="2" t="s">
        <v>372</v>
      </c>
      <c r="B187" s="5">
        <v>4077460</v>
      </c>
      <c r="C187" s="2" t="s">
        <v>373</v>
      </c>
      <c r="D187" s="6">
        <v>570589</v>
      </c>
      <c r="E187" s="6">
        <v>438189</v>
      </c>
      <c r="F187" s="6">
        <v>467660</v>
      </c>
      <c r="G187" s="6">
        <v>518465</v>
      </c>
      <c r="H187" s="6">
        <v>527733</v>
      </c>
      <c r="I187" s="6">
        <v>568937</v>
      </c>
      <c r="J187" s="6">
        <v>1109315</v>
      </c>
      <c r="K187" s="6">
        <v>1102413</v>
      </c>
      <c r="L187" s="6">
        <v>1007693</v>
      </c>
      <c r="M187" s="6">
        <v>1946709</v>
      </c>
      <c r="N187" s="6">
        <v>1960638</v>
      </c>
      <c r="O187" s="6">
        <v>997396</v>
      </c>
      <c r="P187" s="6">
        <v>11069009</v>
      </c>
      <c r="Q187" s="6">
        <v>10600515</v>
      </c>
      <c r="R187" s="6">
        <v>9300110</v>
      </c>
      <c r="S187" s="6">
        <v>17071284</v>
      </c>
      <c r="T187" s="6">
        <v>16523517</v>
      </c>
      <c r="U187" s="6">
        <v>9584393</v>
      </c>
    </row>
    <row r="188" spans="1:21" ht="15">
      <c r="A188" s="2" t="s">
        <v>374</v>
      </c>
      <c r="B188" s="5">
        <v>4092889</v>
      </c>
      <c r="C188" s="2" t="s">
        <v>375</v>
      </c>
      <c r="D188" s="6">
        <v>14134830</v>
      </c>
      <c r="E188" s="6">
        <v>6108113</v>
      </c>
      <c r="F188" s="6">
        <v>6230672</v>
      </c>
      <c r="G188" s="6">
        <v>7560570</v>
      </c>
      <c r="H188" s="6">
        <v>11258293</v>
      </c>
      <c r="I188" s="6">
        <v>13028571</v>
      </c>
      <c r="J188" s="6">
        <v>2268753</v>
      </c>
      <c r="K188" s="6">
        <v>2246017</v>
      </c>
      <c r="L188" s="6">
        <v>1792384</v>
      </c>
      <c r="M188" s="6">
        <v>1367362</v>
      </c>
      <c r="N188" s="6">
        <v>1109430</v>
      </c>
      <c r="O188" s="6">
        <v>894870</v>
      </c>
      <c r="P188" s="6">
        <v>3446357</v>
      </c>
      <c r="Q188" s="6">
        <v>3324174</v>
      </c>
      <c r="R188" s="6">
        <v>2615079</v>
      </c>
      <c r="S188" s="6">
        <v>1965598</v>
      </c>
      <c r="T188" s="6">
        <v>1609720</v>
      </c>
      <c r="U188" s="6">
        <v>1378573</v>
      </c>
    </row>
    <row r="189" spans="1:21" ht="15">
      <c r="A189" s="2" t="s">
        <v>376</v>
      </c>
      <c r="B189" s="5">
        <v>3007562</v>
      </c>
      <c r="C189" s="2" t="s">
        <v>377</v>
      </c>
      <c r="D189" s="6">
        <v>50487000</v>
      </c>
      <c r="E189" s="6">
        <v>72941000</v>
      </c>
      <c r="F189" s="6">
        <v>53029000</v>
      </c>
      <c r="G189" s="6">
        <v>46918000</v>
      </c>
      <c r="H189" s="6">
        <v>47709000</v>
      </c>
      <c r="I189" s="6">
        <v>48309000</v>
      </c>
      <c r="J189" s="6">
        <v>59386000</v>
      </c>
      <c r="K189" s="6">
        <v>63581000</v>
      </c>
      <c r="L189" s="6">
        <v>63688000</v>
      </c>
      <c r="M189" s="6">
        <v>85686000</v>
      </c>
      <c r="N189" s="6">
        <v>44288000</v>
      </c>
      <c r="O189" s="6">
        <v>17016000</v>
      </c>
      <c r="P189" s="6">
        <v>323905000</v>
      </c>
      <c r="Q189" s="6">
        <v>339247000</v>
      </c>
      <c r="R189" s="6">
        <v>334697000</v>
      </c>
      <c r="S189" s="6">
        <v>398675000</v>
      </c>
      <c r="T189" s="6">
        <v>277140000</v>
      </c>
      <c r="U189" s="6">
        <v>179784000</v>
      </c>
    </row>
    <row r="190" spans="1:21" ht="15">
      <c r="A190" s="2" t="s">
        <v>378</v>
      </c>
      <c r="B190" s="5">
        <v>4135450</v>
      </c>
      <c r="C190" s="2" t="s">
        <v>379</v>
      </c>
      <c r="D190" s="6">
        <v>261791</v>
      </c>
      <c r="E190" s="6">
        <v>773047</v>
      </c>
      <c r="F190" s="6">
        <v>715278</v>
      </c>
      <c r="G190" s="6">
        <v>664671</v>
      </c>
      <c r="H190" s="6">
        <v>280986</v>
      </c>
      <c r="I190" s="6">
        <v>249564</v>
      </c>
      <c r="J190" s="6">
        <v>883832</v>
      </c>
      <c r="K190" s="6">
        <v>774237</v>
      </c>
      <c r="L190" s="6">
        <v>650658</v>
      </c>
      <c r="M190" s="6">
        <v>533485</v>
      </c>
      <c r="N190" s="6">
        <v>559647</v>
      </c>
      <c r="O190" s="6">
        <v>520897</v>
      </c>
      <c r="P190" s="6">
        <v>3088072</v>
      </c>
      <c r="Q190" s="6">
        <v>2816120</v>
      </c>
      <c r="R190" s="6">
        <v>2813169</v>
      </c>
      <c r="S190" s="6">
        <v>2695845</v>
      </c>
      <c r="T190" s="6">
        <v>2603416</v>
      </c>
      <c r="U190" s="6">
        <v>2350822</v>
      </c>
    </row>
    <row r="191" spans="1:21" ht="15">
      <c r="A191" s="2" t="s">
        <v>380</v>
      </c>
      <c r="B191" s="5">
        <v>4047873</v>
      </c>
      <c r="C191" s="2" t="s">
        <v>381</v>
      </c>
      <c r="D191" s="6">
        <v>1558509</v>
      </c>
      <c r="E191" s="6">
        <v>881359</v>
      </c>
      <c r="F191" s="6">
        <v>869070</v>
      </c>
      <c r="G191" s="6">
        <v>2220231</v>
      </c>
      <c r="H191" s="6">
        <v>1839921</v>
      </c>
      <c r="I191" s="6">
        <v>1574567</v>
      </c>
      <c r="J191" s="6">
        <v>905994</v>
      </c>
      <c r="K191" s="6">
        <v>826486</v>
      </c>
      <c r="L191" s="6">
        <v>734591</v>
      </c>
      <c r="M191" s="6">
        <v>626437</v>
      </c>
      <c r="N191" s="6">
        <v>538517</v>
      </c>
      <c r="O191" s="6">
        <v>513774</v>
      </c>
      <c r="P191" s="6">
        <v>2321748</v>
      </c>
      <c r="Q191" s="6">
        <v>2203056</v>
      </c>
      <c r="R191" s="6">
        <v>2085508</v>
      </c>
      <c r="S191" s="6">
        <v>1843892</v>
      </c>
      <c r="T191" s="6">
        <v>1591445</v>
      </c>
      <c r="U191" s="6">
        <v>1494111</v>
      </c>
    </row>
    <row r="192" spans="1:21" ht="15">
      <c r="A192" s="2" t="s">
        <v>382</v>
      </c>
      <c r="B192" s="5">
        <v>108391</v>
      </c>
      <c r="C192" s="2" t="s">
        <v>383</v>
      </c>
      <c r="D192" s="6">
        <v>3091700</v>
      </c>
      <c r="E192" s="6">
        <v>935691</v>
      </c>
      <c r="F192" s="6">
        <v>1334762</v>
      </c>
      <c r="G192" s="6">
        <v>1912230</v>
      </c>
      <c r="H192" s="6">
        <v>1901897</v>
      </c>
      <c r="I192" s="6">
        <v>2252946</v>
      </c>
      <c r="J192" s="6">
        <v>950724</v>
      </c>
      <c r="K192" s="6">
        <v>747456</v>
      </c>
      <c r="L192" s="6">
        <v>655527</v>
      </c>
      <c r="M192" s="6">
        <v>562879</v>
      </c>
      <c r="N192" s="6">
        <v>437872</v>
      </c>
      <c r="O192" s="6">
        <v>369599</v>
      </c>
      <c r="P192" s="6">
        <v>1990869</v>
      </c>
      <c r="Q192" s="6">
        <v>1717526</v>
      </c>
      <c r="R192" s="6">
        <v>1513557</v>
      </c>
      <c r="S192" s="6">
        <v>1377270</v>
      </c>
      <c r="T192" s="6">
        <v>1316536</v>
      </c>
      <c r="U192" s="6">
        <v>1294562</v>
      </c>
    </row>
    <row r="193" spans="1:21" ht="15">
      <c r="A193" s="2" t="s">
        <v>384</v>
      </c>
      <c r="B193" s="5">
        <v>4101711</v>
      </c>
      <c r="C193" s="2" t="s">
        <v>385</v>
      </c>
      <c r="D193" s="6">
        <v>441900</v>
      </c>
      <c r="E193" s="6">
        <v>650100</v>
      </c>
      <c r="F193" s="6">
        <v>636800</v>
      </c>
      <c r="G193" s="6">
        <v>802100</v>
      </c>
      <c r="H193" s="6">
        <v>535000</v>
      </c>
      <c r="I193" s="6">
        <v>485400</v>
      </c>
      <c r="J193" s="6">
        <v>1834900</v>
      </c>
      <c r="K193" s="6">
        <v>1685400</v>
      </c>
      <c r="L193" s="6">
        <v>1706000</v>
      </c>
      <c r="M193" s="6">
        <v>1630200</v>
      </c>
      <c r="N193" s="6">
        <v>1388100</v>
      </c>
      <c r="O193" s="6">
        <v>1304200</v>
      </c>
      <c r="P193" s="6">
        <v>8200500</v>
      </c>
      <c r="Q193" s="6">
        <v>7546000</v>
      </c>
      <c r="R193" s="6">
        <v>7346700</v>
      </c>
      <c r="S193" s="6">
        <v>6980600</v>
      </c>
      <c r="T193" s="6">
        <v>6010900</v>
      </c>
      <c r="U193" s="6">
        <v>5647300</v>
      </c>
    </row>
    <row r="194" spans="1:21" ht="15">
      <c r="A194" s="2" t="s">
        <v>386</v>
      </c>
      <c r="B194" s="5">
        <v>102950</v>
      </c>
      <c r="C194" s="2" t="s">
        <v>387</v>
      </c>
      <c r="D194" s="6">
        <v>5028307</v>
      </c>
      <c r="E194" s="6">
        <v>4435865</v>
      </c>
      <c r="F194" s="6">
        <v>4192240</v>
      </c>
      <c r="G194" s="6">
        <v>4474796</v>
      </c>
      <c r="H194" s="6">
        <v>4687717</v>
      </c>
      <c r="I194" s="6">
        <v>4561252</v>
      </c>
      <c r="J194" s="6">
        <v>814519</v>
      </c>
      <c r="K194" s="6">
        <v>750583</v>
      </c>
      <c r="L194" s="6">
        <v>709611</v>
      </c>
      <c r="M194" s="6">
        <v>659024</v>
      </c>
      <c r="N194" s="6">
        <v>577249</v>
      </c>
      <c r="O194" s="6">
        <v>491547</v>
      </c>
      <c r="P194" s="6">
        <v>1280895</v>
      </c>
      <c r="Q194" s="6">
        <v>1205612</v>
      </c>
      <c r="R194" s="6">
        <v>1136023</v>
      </c>
      <c r="S194" s="6">
        <v>1079548</v>
      </c>
      <c r="T194" s="6">
        <v>952469</v>
      </c>
      <c r="U194" s="6">
        <v>827432</v>
      </c>
    </row>
    <row r="195" spans="1:21" ht="15">
      <c r="A195" s="2" t="s">
        <v>388</v>
      </c>
      <c r="B195" s="5">
        <v>4379438</v>
      </c>
      <c r="C195" s="2" t="s">
        <v>389</v>
      </c>
      <c r="D195" s="6">
        <v>37416000</v>
      </c>
      <c r="E195" s="6">
        <v>36121000</v>
      </c>
      <c r="F195" s="6">
        <v>36462000</v>
      </c>
      <c r="G195" s="6">
        <v>37194000</v>
      </c>
      <c r="H195" s="6">
        <v>38332000</v>
      </c>
      <c r="I195" s="6">
        <v>37719000</v>
      </c>
      <c r="J195" s="6">
        <v>11009000</v>
      </c>
      <c r="K195" s="6">
        <v>11250000</v>
      </c>
      <c r="L195" s="6">
        <v>10568000</v>
      </c>
      <c r="M195" s="6">
        <v>9767000</v>
      </c>
      <c r="N195" s="6">
        <v>11749000</v>
      </c>
      <c r="O195" s="6">
        <v>6345000</v>
      </c>
      <c r="P195" s="6">
        <v>87926000</v>
      </c>
      <c r="Q195" s="6">
        <v>87693000</v>
      </c>
      <c r="R195" s="6">
        <v>90155000</v>
      </c>
      <c r="S195" s="6">
        <v>93512000</v>
      </c>
      <c r="T195" s="6">
        <v>83959000</v>
      </c>
      <c r="U195" s="6">
        <v>69217000</v>
      </c>
    </row>
    <row r="196" spans="1:21" ht="15">
      <c r="A196" s="2" t="s">
        <v>390</v>
      </c>
      <c r="B196" s="5">
        <v>4093074</v>
      </c>
      <c r="C196" s="2" t="s">
        <v>391</v>
      </c>
      <c r="D196" s="6">
        <v>13331000</v>
      </c>
      <c r="E196" s="6">
        <v>20620000</v>
      </c>
      <c r="F196" s="6">
        <v>20877000</v>
      </c>
      <c r="G196" s="6">
        <v>20409000</v>
      </c>
      <c r="H196" s="6">
        <v>19341000</v>
      </c>
      <c r="I196" s="6">
        <v>11541000</v>
      </c>
      <c r="J196" s="6">
        <v>3139000</v>
      </c>
      <c r="K196" s="6">
        <v>3131000</v>
      </c>
      <c r="L196" s="6">
        <v>2853000</v>
      </c>
      <c r="M196" s="6">
        <v>2611000</v>
      </c>
      <c r="N196" s="6">
        <v>4496000</v>
      </c>
      <c r="O196" s="6">
        <v>3340000</v>
      </c>
      <c r="P196" s="6">
        <v>10677000</v>
      </c>
      <c r="Q196" s="6">
        <v>10127000</v>
      </c>
      <c r="R196" s="6">
        <v>9831000</v>
      </c>
      <c r="S196" s="6">
        <v>9720000</v>
      </c>
      <c r="T196" s="6">
        <v>9339000</v>
      </c>
      <c r="U196" s="6">
        <v>12552000</v>
      </c>
    </row>
    <row r="197" spans="1:21" ht="15">
      <c r="A197" s="2" t="s">
        <v>392</v>
      </c>
      <c r="B197" s="5">
        <v>100260</v>
      </c>
      <c r="C197" s="2" t="s">
        <v>393</v>
      </c>
      <c r="D197" s="6">
        <v>17260000</v>
      </c>
      <c r="E197" s="6">
        <v>18064000</v>
      </c>
      <c r="F197" s="6">
        <v>15615000</v>
      </c>
      <c r="G197" s="6">
        <v>23283000</v>
      </c>
      <c r="H197" s="6">
        <v>23034000</v>
      </c>
      <c r="I197" s="6">
        <v>22395000</v>
      </c>
      <c r="J197" s="7" t="s">
        <v>61</v>
      </c>
      <c r="K197" s="7" t="s">
        <v>61</v>
      </c>
      <c r="L197" s="7" t="s">
        <v>61</v>
      </c>
      <c r="M197" s="7" t="s">
        <v>61</v>
      </c>
      <c r="N197" s="7" t="s">
        <v>61</v>
      </c>
      <c r="O197" s="7" t="s">
        <v>61</v>
      </c>
      <c r="P197" s="6">
        <v>8355000</v>
      </c>
      <c r="Q197" s="6">
        <v>7949000</v>
      </c>
      <c r="R197" s="6">
        <v>8193000</v>
      </c>
      <c r="S197" s="6">
        <v>7823000</v>
      </c>
      <c r="T197" s="6">
        <v>8297000</v>
      </c>
      <c r="U197" s="6">
        <v>6552000</v>
      </c>
    </row>
    <row r="198" spans="1:21" ht="15">
      <c r="A198" s="2" t="s">
        <v>394</v>
      </c>
      <c r="B198" s="5">
        <v>4211343</v>
      </c>
      <c r="C198" s="2" t="s">
        <v>395</v>
      </c>
      <c r="D198" s="6">
        <v>655335</v>
      </c>
      <c r="E198" s="6">
        <v>482271</v>
      </c>
      <c r="F198" s="6">
        <v>398594</v>
      </c>
      <c r="G198" s="6">
        <v>234131</v>
      </c>
      <c r="H198" s="6">
        <v>624389</v>
      </c>
      <c r="I198" s="6">
        <v>718802</v>
      </c>
      <c r="J198" s="6">
        <v>2126080</v>
      </c>
      <c r="K198" s="6">
        <v>1817233</v>
      </c>
      <c r="L198" s="6">
        <v>1193967</v>
      </c>
      <c r="M198" s="6">
        <v>-11023</v>
      </c>
      <c r="N198" s="6">
        <v>699367</v>
      </c>
      <c r="O198" s="6">
        <v>573814</v>
      </c>
      <c r="P198" s="6">
        <v>5219376</v>
      </c>
      <c r="Q198" s="6">
        <v>4206289</v>
      </c>
      <c r="R198" s="6">
        <v>3318602</v>
      </c>
      <c r="S198" s="6">
        <v>2619319</v>
      </c>
      <c r="T198" s="6">
        <v>2923377</v>
      </c>
      <c r="U198" s="6">
        <v>2711332</v>
      </c>
    </row>
    <row r="199" spans="1:21" ht="15">
      <c r="A199" s="2" t="s">
        <v>396</v>
      </c>
      <c r="B199" s="5">
        <v>4056944</v>
      </c>
      <c r="C199" s="2" t="s">
        <v>397</v>
      </c>
      <c r="D199" s="6">
        <v>26843000</v>
      </c>
      <c r="E199" s="6">
        <v>24782000</v>
      </c>
      <c r="F199" s="6">
        <v>24164000</v>
      </c>
      <c r="G199" s="6">
        <v>21949000</v>
      </c>
      <c r="H199" s="6">
        <v>25136000</v>
      </c>
      <c r="I199" s="6">
        <v>24266000</v>
      </c>
      <c r="J199" s="6">
        <v>4933000</v>
      </c>
      <c r="K199" s="6">
        <v>4291000</v>
      </c>
      <c r="L199" s="6">
        <v>3848000</v>
      </c>
      <c r="M199" s="6">
        <v>3970000</v>
      </c>
      <c r="N199" s="6">
        <v>4272000</v>
      </c>
      <c r="O199" s="6">
        <v>2937000</v>
      </c>
      <c r="P199" s="6">
        <v>14901000</v>
      </c>
      <c r="Q199" s="6">
        <v>13286000</v>
      </c>
      <c r="R199" s="6">
        <v>12685000</v>
      </c>
      <c r="S199" s="6">
        <v>12268000</v>
      </c>
      <c r="T199" s="6">
        <v>10943000</v>
      </c>
      <c r="U199" s="6">
        <v>10607000</v>
      </c>
    </row>
    <row r="200" spans="1:21" ht="15">
      <c r="A200" s="2" t="s">
        <v>398</v>
      </c>
      <c r="B200" s="5">
        <v>113881</v>
      </c>
      <c r="C200" s="2" t="s">
        <v>399</v>
      </c>
      <c r="D200" s="6">
        <v>29760000</v>
      </c>
      <c r="E200" s="6">
        <v>21280000</v>
      </c>
      <c r="F200" s="6">
        <v>21974000</v>
      </c>
      <c r="G200" s="6">
        <v>22170000</v>
      </c>
      <c r="H200" s="6">
        <v>23901000</v>
      </c>
      <c r="I200" s="6">
        <v>25610000</v>
      </c>
      <c r="J200" s="6">
        <v>8859000</v>
      </c>
      <c r="K200" s="6">
        <v>8974000</v>
      </c>
      <c r="L200" s="6">
        <v>7968000</v>
      </c>
      <c r="M200" s="6">
        <v>6855000</v>
      </c>
      <c r="N200" s="6">
        <v>5499000</v>
      </c>
      <c r="O200" s="6">
        <v>4604000</v>
      </c>
      <c r="P200" s="6">
        <v>21193000</v>
      </c>
      <c r="Q200" s="6">
        <v>20456000</v>
      </c>
      <c r="R200" s="6">
        <v>19093000</v>
      </c>
      <c r="S200" s="6">
        <v>17737000</v>
      </c>
      <c r="T200" s="6">
        <v>16226000</v>
      </c>
      <c r="U200" s="6">
        <v>14852000</v>
      </c>
    </row>
    <row r="201" spans="1:21" ht="15">
      <c r="A201" s="2" t="s">
        <v>400</v>
      </c>
      <c r="B201" s="5">
        <v>113873</v>
      </c>
      <c r="C201" s="2" t="s">
        <v>401</v>
      </c>
      <c r="D201" s="6">
        <v>165738000</v>
      </c>
      <c r="E201" s="6">
        <v>162998000</v>
      </c>
      <c r="F201" s="6">
        <v>139485000</v>
      </c>
      <c r="G201" s="6">
        <v>140474000</v>
      </c>
      <c r="H201" s="6">
        <v>151107000</v>
      </c>
      <c r="I201" s="6">
        <v>160862000</v>
      </c>
      <c r="J201" s="6">
        <v>5393000</v>
      </c>
      <c r="K201" s="6">
        <v>11497000</v>
      </c>
      <c r="L201" s="6">
        <v>9487000</v>
      </c>
      <c r="M201" s="6">
        <v>14573000</v>
      </c>
      <c r="N201" s="6">
        <v>12677000</v>
      </c>
      <c r="O201" s="6">
        <v>3197000</v>
      </c>
      <c r="P201" s="6">
        <v>187267000</v>
      </c>
      <c r="Q201" s="6">
        <v>184992000</v>
      </c>
      <c r="R201" s="6">
        <v>176191000</v>
      </c>
      <c r="S201" s="6">
        <v>158057000</v>
      </c>
      <c r="T201" s="6">
        <v>136341000</v>
      </c>
      <c r="U201" s="6">
        <v>127144000</v>
      </c>
    </row>
    <row r="202" spans="1:21" ht="15">
      <c r="A202" s="2" t="s">
        <v>402</v>
      </c>
      <c r="B202" s="5">
        <v>4868602</v>
      </c>
      <c r="C202" s="2" t="s">
        <v>403</v>
      </c>
      <c r="D202" s="6">
        <v>1061800</v>
      </c>
      <c r="E202" s="6">
        <v>53100</v>
      </c>
      <c r="F202" s="6">
        <v>1055200</v>
      </c>
      <c r="G202" s="6">
        <v>1086100</v>
      </c>
      <c r="H202" s="6">
        <v>1071400</v>
      </c>
      <c r="I202" s="6">
        <v>1073400</v>
      </c>
      <c r="J202" s="6">
        <v>2226300</v>
      </c>
      <c r="K202" s="6">
        <v>1921600</v>
      </c>
      <c r="L202" s="6">
        <v>1349900</v>
      </c>
      <c r="M202" s="6">
        <v>1069300</v>
      </c>
      <c r="N202" s="6">
        <v>730200</v>
      </c>
      <c r="O202" s="6">
        <v>560400</v>
      </c>
      <c r="P202" s="6">
        <v>6799600</v>
      </c>
      <c r="Q202" s="6">
        <v>5955800</v>
      </c>
      <c r="R202" s="6">
        <v>5304800</v>
      </c>
      <c r="S202" s="6">
        <v>4417400</v>
      </c>
      <c r="T202" s="6">
        <v>3342200</v>
      </c>
      <c r="U202" s="6">
        <v>2594400</v>
      </c>
    </row>
    <row r="203" spans="1:21" ht="15">
      <c r="A203" s="2" t="s">
        <v>404</v>
      </c>
      <c r="B203" s="5">
        <v>4992262</v>
      </c>
      <c r="C203" s="2" t="s">
        <v>405</v>
      </c>
      <c r="D203" s="6">
        <v>3306600</v>
      </c>
      <c r="E203" s="6">
        <v>4431400</v>
      </c>
      <c r="F203" s="6">
        <v>4143500</v>
      </c>
      <c r="G203" s="6">
        <v>3420700</v>
      </c>
      <c r="H203" s="6">
        <v>3810100</v>
      </c>
      <c r="I203" s="6">
        <v>3805200</v>
      </c>
      <c r="J203" s="6">
        <v>1158200</v>
      </c>
      <c r="K203" s="6">
        <v>1148000</v>
      </c>
      <c r="L203" s="6">
        <v>999400</v>
      </c>
      <c r="M203" s="6">
        <v>1471300</v>
      </c>
      <c r="N203" s="6">
        <v>1206100</v>
      </c>
      <c r="O203" s="6">
        <v>947800</v>
      </c>
      <c r="P203" s="6">
        <v>4159100</v>
      </c>
      <c r="Q203" s="6">
        <v>4080900</v>
      </c>
      <c r="R203" s="6">
        <v>3913900</v>
      </c>
      <c r="S203" s="6">
        <v>5825700</v>
      </c>
      <c r="T203" s="6">
        <v>5254700</v>
      </c>
      <c r="U203" s="6">
        <v>4634400</v>
      </c>
    </row>
    <row r="204" spans="1:21" ht="15">
      <c r="A204" s="2" t="s">
        <v>406</v>
      </c>
      <c r="B204" s="5">
        <v>13518181</v>
      </c>
      <c r="C204" s="2" t="s">
        <v>407</v>
      </c>
      <c r="D204" s="6">
        <v>7465000</v>
      </c>
      <c r="E204" s="6">
        <v>8520000</v>
      </c>
      <c r="F204" s="6">
        <v>8452000</v>
      </c>
      <c r="G204" s="6">
        <v>7718000</v>
      </c>
      <c r="H204" s="6">
        <v>8207000</v>
      </c>
      <c r="I204" s="6">
        <v>8152000</v>
      </c>
      <c r="J204" s="6">
        <v>3523000</v>
      </c>
      <c r="K204" s="6">
        <v>2847000</v>
      </c>
      <c r="L204" s="6">
        <v>3098000</v>
      </c>
      <c r="M204" s="6">
        <v>2868000</v>
      </c>
      <c r="N204" s="6">
        <v>3058000</v>
      </c>
      <c r="O204" s="6">
        <v>2762000</v>
      </c>
      <c r="P204" s="6">
        <v>16300000</v>
      </c>
      <c r="Q204" s="6">
        <v>13980000</v>
      </c>
      <c r="R204" s="6">
        <v>14913000</v>
      </c>
      <c r="S204" s="6">
        <v>13974000</v>
      </c>
      <c r="T204" s="6">
        <v>12909000</v>
      </c>
      <c r="U204" s="6">
        <v>12303000</v>
      </c>
    </row>
    <row r="205" spans="1:21" ht="15">
      <c r="A205" s="2" t="s">
        <v>408</v>
      </c>
      <c r="B205" s="5">
        <v>102719</v>
      </c>
      <c r="C205" s="2" t="s">
        <v>409</v>
      </c>
      <c r="D205" s="6">
        <v>3362600</v>
      </c>
      <c r="E205" s="6">
        <v>3638100</v>
      </c>
      <c r="F205" s="6">
        <v>3917800</v>
      </c>
      <c r="G205" s="6">
        <v>3904800</v>
      </c>
      <c r="H205" s="6">
        <v>3520600</v>
      </c>
      <c r="I205" s="6">
        <v>3745400</v>
      </c>
      <c r="J205" s="6">
        <v>1701300</v>
      </c>
      <c r="K205" s="6">
        <v>1688400</v>
      </c>
      <c r="L205" s="6">
        <v>1945500</v>
      </c>
      <c r="M205" s="6">
        <v>2331300</v>
      </c>
      <c r="N205" s="6">
        <v>2405800</v>
      </c>
      <c r="O205" s="6">
        <v>1428000</v>
      </c>
      <c r="P205" s="6">
        <v>8770700</v>
      </c>
      <c r="Q205" s="6">
        <v>8478000</v>
      </c>
      <c r="R205" s="6">
        <v>7849400</v>
      </c>
      <c r="S205" s="6">
        <v>8275300</v>
      </c>
      <c r="T205" s="6">
        <v>8425500</v>
      </c>
      <c r="U205" s="6">
        <v>5566500</v>
      </c>
    </row>
    <row r="206" spans="1:21" ht="15">
      <c r="A206" s="2" t="s">
        <v>410</v>
      </c>
      <c r="B206" s="5">
        <v>4004107</v>
      </c>
      <c r="C206" s="2" t="s">
        <v>411</v>
      </c>
      <c r="D206" s="6">
        <v>10492000</v>
      </c>
      <c r="E206" s="6">
        <v>9939000</v>
      </c>
      <c r="F206" s="6">
        <v>9769000</v>
      </c>
      <c r="G206" s="6">
        <v>10952000</v>
      </c>
      <c r="H206" s="6">
        <v>9853000</v>
      </c>
      <c r="I206" s="6">
        <v>9738000</v>
      </c>
      <c r="J206" s="6">
        <v>9101000</v>
      </c>
      <c r="K206" s="6">
        <v>9556000</v>
      </c>
      <c r="L206" s="6">
        <v>8499000</v>
      </c>
      <c r="M206" s="6">
        <v>9274000</v>
      </c>
      <c r="N206" s="6">
        <v>10599000</v>
      </c>
      <c r="O206" s="6">
        <v>3834000</v>
      </c>
      <c r="P206" s="6">
        <v>25915000</v>
      </c>
      <c r="Q206" s="6">
        <v>25455000</v>
      </c>
      <c r="R206" s="6">
        <v>22855000</v>
      </c>
      <c r="S206" s="6">
        <v>22780000</v>
      </c>
      <c r="T206" s="6">
        <v>22845000</v>
      </c>
      <c r="U206" s="6">
        <v>14198000</v>
      </c>
    </row>
    <row r="207" spans="1:21" ht="15">
      <c r="A207" s="2" t="s">
        <v>412</v>
      </c>
      <c r="B207" s="5">
        <v>4156047</v>
      </c>
      <c r="C207" s="2" t="s">
        <v>413</v>
      </c>
      <c r="D207" s="6">
        <v>195988</v>
      </c>
      <c r="E207" s="6">
        <v>94832</v>
      </c>
      <c r="F207" s="6">
        <v>90547</v>
      </c>
      <c r="G207" s="6">
        <v>139690</v>
      </c>
      <c r="H207" s="6">
        <v>140811</v>
      </c>
      <c r="I207" s="6">
        <v>162787</v>
      </c>
      <c r="J207" s="6">
        <v>2064835</v>
      </c>
      <c r="K207" s="6">
        <v>1773729</v>
      </c>
      <c r="L207" s="6">
        <v>1269732</v>
      </c>
      <c r="M207" s="6">
        <v>1191698</v>
      </c>
      <c r="N207" s="6">
        <v>1373438</v>
      </c>
      <c r="O207" s="6">
        <v>1180955</v>
      </c>
      <c r="P207" s="6">
        <v>7245519</v>
      </c>
      <c r="Q207" s="6">
        <v>6296903</v>
      </c>
      <c r="R207" s="6">
        <v>5228252</v>
      </c>
      <c r="S207" s="6">
        <v>4860286</v>
      </c>
      <c r="T207" s="6">
        <v>4982795</v>
      </c>
      <c r="U207" s="6">
        <v>4186573</v>
      </c>
    </row>
    <row r="208" spans="1:21" ht="15">
      <c r="A208" s="2" t="s">
        <v>414</v>
      </c>
      <c r="B208" s="5">
        <v>4094069</v>
      </c>
      <c r="C208" s="2" t="s">
        <v>415</v>
      </c>
      <c r="D208" s="6">
        <v>3347950</v>
      </c>
      <c r="E208" s="6">
        <v>2952137</v>
      </c>
      <c r="F208" s="6">
        <v>3304021</v>
      </c>
      <c r="G208" s="6">
        <v>3158391</v>
      </c>
      <c r="H208" s="6">
        <v>3070195</v>
      </c>
      <c r="I208" s="6">
        <v>2900006</v>
      </c>
      <c r="J208" s="6">
        <v>1310532</v>
      </c>
      <c r="K208" s="6">
        <v>1308815</v>
      </c>
      <c r="L208" s="6">
        <v>1274168</v>
      </c>
      <c r="M208" s="6">
        <v>1314486</v>
      </c>
      <c r="N208" s="6">
        <v>1148031</v>
      </c>
      <c r="O208" s="6">
        <v>685817</v>
      </c>
      <c r="P208" s="6">
        <v>6497226</v>
      </c>
      <c r="Q208" s="6">
        <v>6267411</v>
      </c>
      <c r="R208" s="6">
        <v>5906956</v>
      </c>
      <c r="S208" s="6">
        <v>5475846</v>
      </c>
      <c r="T208" s="6">
        <v>4733962</v>
      </c>
      <c r="U208" s="6">
        <v>4099403</v>
      </c>
    </row>
    <row r="209" spans="1:21" ht="15">
      <c r="A209" s="2" t="s">
        <v>416</v>
      </c>
      <c r="B209" s="5">
        <v>108009705</v>
      </c>
      <c r="C209" s="2" t="s">
        <v>417</v>
      </c>
      <c r="D209" s="6">
        <v>10463000</v>
      </c>
      <c r="E209" s="6">
        <v>35000</v>
      </c>
      <c r="F209" s="6">
        <v>437000</v>
      </c>
      <c r="G209" s="6">
        <v>8635000</v>
      </c>
      <c r="H209" s="6">
        <v>9863000</v>
      </c>
      <c r="I209" s="6">
        <v>9376000</v>
      </c>
      <c r="J209" s="6">
        <v>3642000</v>
      </c>
      <c r="K209" s="6">
        <v>3625000</v>
      </c>
      <c r="L209" s="6">
        <v>3438000</v>
      </c>
      <c r="M209" s="6">
        <v>3100000</v>
      </c>
      <c r="N209" s="6">
        <v>3419000</v>
      </c>
      <c r="O209" s="6">
        <v>3346000</v>
      </c>
      <c r="P209" s="6">
        <v>20625000</v>
      </c>
      <c r="Q209" s="6">
        <v>19672000</v>
      </c>
      <c r="R209" s="6">
        <v>19552000</v>
      </c>
      <c r="S209" s="6">
        <v>18341000</v>
      </c>
      <c r="T209" s="6">
        <v>17585000</v>
      </c>
      <c r="U209" s="6">
        <v>17164000</v>
      </c>
    </row>
    <row r="210" spans="1:21" ht="15">
      <c r="A210" s="2" t="s">
        <v>418</v>
      </c>
      <c r="B210" s="5">
        <v>108612670</v>
      </c>
      <c r="C210" s="2" t="s">
        <v>419</v>
      </c>
      <c r="D210" s="6">
        <v>1196000</v>
      </c>
      <c r="E210" s="7" t="s">
        <v>61</v>
      </c>
      <c r="F210" s="7" t="s">
        <v>61</v>
      </c>
      <c r="G210" s="6">
        <v>1168000</v>
      </c>
      <c r="H210" s="6">
        <v>1184000</v>
      </c>
      <c r="I210" s="6">
        <v>1061000</v>
      </c>
      <c r="J210" s="6">
        <v>2995000</v>
      </c>
      <c r="K210" s="6">
        <v>2216000</v>
      </c>
      <c r="L210" s="6">
        <v>1057000</v>
      </c>
      <c r="M210" s="6">
        <v>-754000</v>
      </c>
      <c r="N210" s="6">
        <v>798000</v>
      </c>
      <c r="O210" s="7" t="s">
        <v>61</v>
      </c>
      <c r="P210" s="6">
        <v>38068000</v>
      </c>
      <c r="Q210" s="6">
        <v>34935000</v>
      </c>
      <c r="R210" s="6">
        <v>33239000</v>
      </c>
      <c r="S210" s="6">
        <v>29654000</v>
      </c>
      <c r="T210" s="6">
        <v>33006000</v>
      </c>
      <c r="U210" s="7" t="s">
        <v>61</v>
      </c>
    </row>
    <row r="211" spans="1:21" ht="15">
      <c r="A211" s="2" t="s">
        <v>420</v>
      </c>
      <c r="B211" s="5">
        <v>4048156</v>
      </c>
      <c r="C211" s="2" t="s">
        <v>421</v>
      </c>
      <c r="D211" s="6">
        <v>8315000</v>
      </c>
      <c r="E211" s="6">
        <v>4322000</v>
      </c>
      <c r="F211" s="6">
        <v>3693000</v>
      </c>
      <c r="G211" s="6">
        <v>3829000</v>
      </c>
      <c r="H211" s="6">
        <v>9819000</v>
      </c>
      <c r="I211" s="6">
        <v>8655000</v>
      </c>
      <c r="J211" s="6">
        <v>1878000</v>
      </c>
      <c r="K211" s="6">
        <v>1792000</v>
      </c>
      <c r="L211" s="6">
        <v>1468000</v>
      </c>
      <c r="M211" s="6">
        <v>1137000</v>
      </c>
      <c r="N211" s="6">
        <v>1177000</v>
      </c>
      <c r="O211" s="6">
        <v>821000</v>
      </c>
      <c r="P211" s="6">
        <v>3935000</v>
      </c>
      <c r="Q211" s="6">
        <v>3800000</v>
      </c>
      <c r="R211" s="6">
        <v>3317000</v>
      </c>
      <c r="S211" s="6">
        <v>2796000</v>
      </c>
      <c r="T211" s="6">
        <v>2551000</v>
      </c>
      <c r="U211" s="6">
        <v>2490000</v>
      </c>
    </row>
    <row r="212" spans="1:21" ht="15">
      <c r="A212" s="2" t="s">
        <v>422</v>
      </c>
      <c r="B212" s="5">
        <v>4991196</v>
      </c>
      <c r="C212" s="2" t="s">
        <v>423</v>
      </c>
      <c r="D212" s="6">
        <v>1384947</v>
      </c>
      <c r="E212" s="6">
        <v>948943</v>
      </c>
      <c r="F212" s="6">
        <v>1083975</v>
      </c>
      <c r="G212" s="6">
        <v>1534685</v>
      </c>
      <c r="H212" s="6">
        <v>1649365</v>
      </c>
      <c r="I212" s="6">
        <v>1392711</v>
      </c>
      <c r="J212" s="6">
        <v>484026</v>
      </c>
      <c r="K212" s="6">
        <v>708510</v>
      </c>
      <c r="L212" s="6">
        <v>552801</v>
      </c>
      <c r="M212" s="6">
        <v>722471</v>
      </c>
      <c r="N212" s="6">
        <v>834642</v>
      </c>
      <c r="O212" s="6">
        <v>549290</v>
      </c>
      <c r="P212" s="6">
        <v>4209147</v>
      </c>
      <c r="Q212" s="6">
        <v>4295834</v>
      </c>
      <c r="R212" s="6">
        <v>4022667</v>
      </c>
      <c r="S212" s="6">
        <v>4564737</v>
      </c>
      <c r="T212" s="6">
        <v>3737184</v>
      </c>
      <c r="U212" s="6">
        <v>2485200</v>
      </c>
    </row>
    <row r="213" spans="1:21" ht="15">
      <c r="A213" s="2" t="s">
        <v>424</v>
      </c>
      <c r="B213" s="5">
        <v>4040505</v>
      </c>
      <c r="C213" s="2" t="s">
        <v>425</v>
      </c>
      <c r="D213" s="6">
        <v>9789000</v>
      </c>
      <c r="E213" s="6">
        <v>14732000</v>
      </c>
      <c r="F213" s="6">
        <v>13175000</v>
      </c>
      <c r="G213" s="6">
        <v>12114000</v>
      </c>
      <c r="H213" s="6">
        <v>11083000</v>
      </c>
      <c r="I213" s="6">
        <v>10676000</v>
      </c>
      <c r="J213" s="6">
        <v>6344000</v>
      </c>
      <c r="K213" s="6">
        <v>5655000</v>
      </c>
      <c r="L213" s="6">
        <v>4570000</v>
      </c>
      <c r="M213" s="6">
        <v>5485000</v>
      </c>
      <c r="N213" s="6">
        <v>5271000</v>
      </c>
      <c r="O213" s="6">
        <v>5090000</v>
      </c>
      <c r="P213" s="6">
        <v>52550000</v>
      </c>
      <c r="Q213" s="6">
        <v>47716000</v>
      </c>
      <c r="R213" s="6">
        <v>42272000</v>
      </c>
      <c r="S213" s="6">
        <v>39407000</v>
      </c>
      <c r="T213" s="6">
        <v>38469000</v>
      </c>
      <c r="U213" s="6">
        <v>37925000</v>
      </c>
    </row>
    <row r="214" spans="1:21" ht="15">
      <c r="A214" s="2" t="s">
        <v>426</v>
      </c>
      <c r="B214" s="5">
        <v>114527</v>
      </c>
      <c r="C214" s="2" t="s">
        <v>427</v>
      </c>
      <c r="D214" s="6">
        <v>21557000</v>
      </c>
      <c r="E214" s="6">
        <v>78097000</v>
      </c>
      <c r="F214" s="6">
        <v>38033000</v>
      </c>
      <c r="G214" s="6">
        <v>26148000</v>
      </c>
      <c r="H214" s="6">
        <v>21764000</v>
      </c>
      <c r="I214" s="6">
        <v>20378000</v>
      </c>
      <c r="J214" s="6">
        <v>10703000</v>
      </c>
      <c r="K214" s="6">
        <v>8941000</v>
      </c>
      <c r="L214" s="6">
        <v>7424000</v>
      </c>
      <c r="M214" s="6">
        <v>5165000</v>
      </c>
      <c r="N214" s="6">
        <v>2290000</v>
      </c>
      <c r="O214" s="6">
        <v>2832000</v>
      </c>
      <c r="P214" s="6">
        <v>45855000</v>
      </c>
      <c r="Q214" s="6">
        <v>38702000</v>
      </c>
      <c r="R214" s="6">
        <v>35348000</v>
      </c>
      <c r="S214" s="6">
        <v>29139000</v>
      </c>
      <c r="T214" s="6">
        <v>56469000</v>
      </c>
      <c r="U214" s="6">
        <v>75833000</v>
      </c>
    </row>
    <row r="215" spans="1:21" ht="15">
      <c r="A215" s="2" t="s">
        <v>428</v>
      </c>
      <c r="B215" s="5">
        <v>4096376</v>
      </c>
      <c r="C215" s="2" t="s">
        <v>429</v>
      </c>
      <c r="D215" s="6">
        <v>15296700</v>
      </c>
      <c r="E215" s="6">
        <v>13918500</v>
      </c>
      <c r="F215" s="6">
        <v>13006400</v>
      </c>
      <c r="G215" s="6">
        <v>11975400</v>
      </c>
      <c r="H215" s="6">
        <v>12064800</v>
      </c>
      <c r="I215" s="6">
        <v>13315100</v>
      </c>
      <c r="J215" s="6">
        <v>3904200</v>
      </c>
      <c r="K215" s="6">
        <v>4335400</v>
      </c>
      <c r="L215" s="6">
        <v>3688000</v>
      </c>
      <c r="M215" s="6">
        <v>3942200</v>
      </c>
      <c r="N215" s="6">
        <v>4105200</v>
      </c>
      <c r="O215" s="6">
        <v>3713100</v>
      </c>
      <c r="P215" s="6">
        <v>19486600</v>
      </c>
      <c r="Q215" s="6">
        <v>19857200</v>
      </c>
      <c r="R215" s="6">
        <v>20094200</v>
      </c>
      <c r="S215" s="6">
        <v>18992800</v>
      </c>
      <c r="T215" s="6">
        <v>18127000</v>
      </c>
      <c r="U215" s="6">
        <v>17626600</v>
      </c>
    </row>
    <row r="216" spans="1:21" ht="15">
      <c r="A216" s="2" t="s">
        <v>430</v>
      </c>
      <c r="B216" s="5">
        <v>4272273</v>
      </c>
      <c r="C216" s="2" t="s">
        <v>431</v>
      </c>
      <c r="D216" s="6">
        <v>131578000</v>
      </c>
      <c r="E216" s="6">
        <v>111072000</v>
      </c>
      <c r="F216" s="6">
        <v>110595000</v>
      </c>
      <c r="G216" s="6">
        <v>115913000</v>
      </c>
      <c r="H216" s="6">
        <v>122912000</v>
      </c>
      <c r="I216" s="6">
        <v>130947000</v>
      </c>
      <c r="J216" s="6">
        <v>17629000</v>
      </c>
      <c r="K216" s="6">
        <v>18689000</v>
      </c>
      <c r="L216" s="6">
        <v>15784000</v>
      </c>
      <c r="M216" s="6">
        <v>17824000</v>
      </c>
      <c r="N216" s="6">
        <v>16894000</v>
      </c>
      <c r="O216" s="6">
        <v>13653000</v>
      </c>
      <c r="P216" s="6">
        <v>185019000</v>
      </c>
      <c r="Q216" s="6">
        <v>187442000</v>
      </c>
      <c r="R216" s="6">
        <v>171842000</v>
      </c>
      <c r="S216" s="6">
        <v>156735000</v>
      </c>
      <c r="T216" s="6">
        <v>127004000</v>
      </c>
      <c r="U216" s="6">
        <v>122485000</v>
      </c>
    </row>
    <row r="217" spans="1:21" ht="15">
      <c r="A217" s="2" t="s">
        <v>432</v>
      </c>
      <c r="B217" s="5">
        <v>4004397</v>
      </c>
      <c r="C217" s="2" t="s">
        <v>433</v>
      </c>
      <c r="D217" s="6">
        <v>6929765</v>
      </c>
      <c r="E217" s="6">
        <v>3737178</v>
      </c>
      <c r="F217" s="6">
        <v>3479113</v>
      </c>
      <c r="G217" s="6">
        <v>4451555</v>
      </c>
      <c r="H217" s="6">
        <v>5184581</v>
      </c>
      <c r="I217" s="6">
        <v>6086012</v>
      </c>
      <c r="J217" s="6">
        <v>2014110</v>
      </c>
      <c r="K217" s="6">
        <v>2013700</v>
      </c>
      <c r="L217" s="6">
        <v>2148023</v>
      </c>
      <c r="M217" s="6">
        <v>2028062</v>
      </c>
      <c r="N217" s="6">
        <v>1562854</v>
      </c>
      <c r="O217" s="6">
        <v>1274599</v>
      </c>
      <c r="P217" s="6">
        <v>24300141</v>
      </c>
      <c r="Q217" s="6">
        <v>23486569</v>
      </c>
      <c r="R217" s="6">
        <v>23090610</v>
      </c>
      <c r="S217" s="6">
        <v>22095973</v>
      </c>
      <c r="T217" s="6">
        <v>18870510</v>
      </c>
      <c r="U217" s="6">
        <v>16537433</v>
      </c>
    </row>
    <row r="218" spans="1:21" ht="15">
      <c r="A218" s="2" t="s">
        <v>434</v>
      </c>
      <c r="B218" s="5">
        <v>4135343</v>
      </c>
      <c r="C218" s="2" t="s">
        <v>435</v>
      </c>
      <c r="D218" s="6">
        <v>25541000</v>
      </c>
      <c r="E218" s="6">
        <v>32117000</v>
      </c>
      <c r="F218" s="6">
        <v>27285000</v>
      </c>
      <c r="G218" s="6">
        <v>25808000</v>
      </c>
      <c r="H218" s="6">
        <v>25658000</v>
      </c>
      <c r="I218" s="6">
        <v>27322000</v>
      </c>
      <c r="J218" s="6">
        <v>14577000</v>
      </c>
      <c r="K218" s="6">
        <v>13454000</v>
      </c>
      <c r="L218" s="6">
        <v>12021000</v>
      </c>
      <c r="M218" s="6">
        <v>13077000</v>
      </c>
      <c r="N218" s="6">
        <v>13982000</v>
      </c>
      <c r="O218" s="6">
        <v>12439000</v>
      </c>
      <c r="P218" s="6">
        <v>29443000</v>
      </c>
      <c r="Q218" s="6">
        <v>28754000</v>
      </c>
      <c r="R218" s="6">
        <v>27116000</v>
      </c>
      <c r="S218" s="6">
        <v>27281000</v>
      </c>
      <c r="T218" s="6">
        <v>27305000</v>
      </c>
      <c r="U218" s="6">
        <v>24689000</v>
      </c>
    </row>
    <row r="219" spans="1:21" ht="15">
      <c r="A219" s="2" t="s">
        <v>436</v>
      </c>
      <c r="B219" s="5">
        <v>4090258</v>
      </c>
      <c r="C219" s="2" t="s">
        <v>437</v>
      </c>
      <c r="D219" s="6">
        <v>22190045</v>
      </c>
      <c r="E219" s="6">
        <v>10271004</v>
      </c>
      <c r="F219" s="6">
        <v>12660573</v>
      </c>
      <c r="G219" s="6">
        <v>14725477</v>
      </c>
      <c r="H219" s="6">
        <v>17815236</v>
      </c>
      <c r="I219" s="6">
        <v>16998981</v>
      </c>
      <c r="J219" s="6">
        <v>3439073</v>
      </c>
      <c r="K219" s="6">
        <v>3382562</v>
      </c>
      <c r="L219" s="6">
        <v>2928052</v>
      </c>
      <c r="M219" s="6">
        <v>3641075</v>
      </c>
      <c r="N219" s="6">
        <v>3050260</v>
      </c>
      <c r="O219" s="6">
        <v>2508393</v>
      </c>
      <c r="P219" s="6">
        <v>7705878</v>
      </c>
      <c r="Q219" s="6">
        <v>7735970</v>
      </c>
      <c r="R219" s="6">
        <v>7379784</v>
      </c>
      <c r="S219" s="6">
        <v>8975515</v>
      </c>
      <c r="T219" s="6">
        <v>8523762</v>
      </c>
      <c r="U219" s="6">
        <v>7423558</v>
      </c>
    </row>
    <row r="220" spans="1:21" ht="15">
      <c r="A220" s="2" t="s">
        <v>438</v>
      </c>
      <c r="B220" s="5">
        <v>103323</v>
      </c>
      <c r="C220" s="2" t="s">
        <v>439</v>
      </c>
      <c r="D220" s="6">
        <v>3062449</v>
      </c>
      <c r="E220" s="6">
        <v>1922804</v>
      </c>
      <c r="F220" s="6">
        <v>2026138</v>
      </c>
      <c r="G220" s="6">
        <v>2100055</v>
      </c>
      <c r="H220" s="6">
        <v>2253672</v>
      </c>
      <c r="I220" s="6">
        <v>3111652</v>
      </c>
      <c r="J220" s="6">
        <v>1624249</v>
      </c>
      <c r="K220" s="6">
        <v>1502304</v>
      </c>
      <c r="L220" s="6">
        <v>1318482</v>
      </c>
      <c r="M220" s="6">
        <v>1216002</v>
      </c>
      <c r="N220" s="6">
        <v>1386236</v>
      </c>
      <c r="O220" s="6">
        <v>1003663</v>
      </c>
      <c r="P220" s="6">
        <v>5994318</v>
      </c>
      <c r="Q220" s="6">
        <v>5778069</v>
      </c>
      <c r="R220" s="6">
        <v>5447533</v>
      </c>
      <c r="S220" s="6">
        <v>5226740</v>
      </c>
      <c r="T220" s="6">
        <v>5112038</v>
      </c>
      <c r="U220" s="6">
        <v>4737921</v>
      </c>
    </row>
    <row r="221" spans="1:21" ht="15">
      <c r="A221" s="2" t="s">
        <v>440</v>
      </c>
      <c r="B221" s="5">
        <v>4972972</v>
      </c>
      <c r="C221" s="2" t="s">
        <v>441</v>
      </c>
      <c r="D221" s="6">
        <v>3862600</v>
      </c>
      <c r="E221" s="6">
        <v>3523200</v>
      </c>
      <c r="F221" s="6">
        <v>4150400</v>
      </c>
      <c r="G221" s="6">
        <v>3983800</v>
      </c>
      <c r="H221" s="6">
        <v>3967400</v>
      </c>
      <c r="I221" s="6">
        <v>3894700</v>
      </c>
      <c r="J221" s="6">
        <v>1255000</v>
      </c>
      <c r="K221" s="6">
        <v>1068200</v>
      </c>
      <c r="L221" s="6">
        <v>809500</v>
      </c>
      <c r="M221" s="6">
        <v>744200</v>
      </c>
      <c r="N221" s="6">
        <v>659600</v>
      </c>
      <c r="O221" s="6">
        <v>508500</v>
      </c>
      <c r="P221" s="6">
        <v>4951100</v>
      </c>
      <c r="Q221" s="6">
        <v>4573200</v>
      </c>
      <c r="R221" s="6">
        <v>4254100</v>
      </c>
      <c r="S221" s="6">
        <v>4091300</v>
      </c>
      <c r="T221" s="6">
        <v>3815700</v>
      </c>
      <c r="U221" s="6">
        <v>3316700</v>
      </c>
    </row>
    <row r="222" spans="1:21" ht="15">
      <c r="A222" s="2" t="s">
        <v>442</v>
      </c>
      <c r="B222" s="5">
        <v>4010641</v>
      </c>
      <c r="C222" s="2" t="s">
        <v>443</v>
      </c>
      <c r="D222" s="6">
        <v>8316000</v>
      </c>
      <c r="E222" s="6">
        <v>10978000</v>
      </c>
      <c r="F222" s="6">
        <v>10323000</v>
      </c>
      <c r="G222" s="6">
        <v>9084000</v>
      </c>
      <c r="H222" s="6">
        <v>8973000</v>
      </c>
      <c r="I222" s="6">
        <v>8772000</v>
      </c>
      <c r="J222" s="6">
        <v>4121000</v>
      </c>
      <c r="K222" s="6">
        <v>5005000</v>
      </c>
      <c r="L222" s="6">
        <v>5081000</v>
      </c>
      <c r="M222" s="6">
        <v>3943000</v>
      </c>
      <c r="N222" s="6">
        <v>2645000</v>
      </c>
      <c r="O222" s="6">
        <v>1635000</v>
      </c>
      <c r="P222" s="6">
        <v>22184000</v>
      </c>
      <c r="Q222" s="6">
        <v>22944000</v>
      </c>
      <c r="R222" s="6">
        <v>23018000</v>
      </c>
      <c r="S222" s="6">
        <v>20297000</v>
      </c>
      <c r="T222" s="6">
        <v>15295000</v>
      </c>
      <c r="U222" s="6">
        <v>14445000</v>
      </c>
    </row>
    <row r="223" spans="1:21" ht="15">
      <c r="A223" s="2" t="s">
        <v>444</v>
      </c>
      <c r="B223" s="5">
        <v>4095387</v>
      </c>
      <c r="C223" s="2" t="s">
        <v>445</v>
      </c>
      <c r="D223" s="6">
        <v>3396300</v>
      </c>
      <c r="E223" s="6">
        <v>5099200</v>
      </c>
      <c r="F223" s="6">
        <v>4069000</v>
      </c>
      <c r="G223" s="6">
        <v>4006400</v>
      </c>
      <c r="H223" s="6">
        <v>3496300</v>
      </c>
      <c r="I223" s="6">
        <v>3410600</v>
      </c>
      <c r="J223" s="6">
        <v>1200100</v>
      </c>
      <c r="K223" s="6">
        <v>921200</v>
      </c>
      <c r="L223" s="6">
        <v>515900</v>
      </c>
      <c r="M223" s="6">
        <v>662400</v>
      </c>
      <c r="N223" s="6">
        <v>1177400</v>
      </c>
      <c r="O223" s="6">
        <v>990700</v>
      </c>
      <c r="P223" s="6">
        <v>4701300</v>
      </c>
      <c r="Q223" s="6">
        <v>4135500</v>
      </c>
      <c r="R223" s="6">
        <v>5003300</v>
      </c>
      <c r="S223" s="6">
        <v>5856700</v>
      </c>
      <c r="T223" s="6">
        <v>6420400</v>
      </c>
      <c r="U223" s="6">
        <v>5465400</v>
      </c>
    </row>
    <row r="224" spans="1:21" ht="15">
      <c r="A224" s="2" t="s">
        <v>446</v>
      </c>
      <c r="B224" s="5">
        <v>4283738</v>
      </c>
      <c r="C224" s="2" t="s">
        <v>447</v>
      </c>
      <c r="D224" s="6">
        <v>48697000</v>
      </c>
      <c r="E224" s="6">
        <v>33102000</v>
      </c>
      <c r="F224" s="6">
        <v>36734000</v>
      </c>
      <c r="G224" s="6">
        <v>40200000</v>
      </c>
      <c r="H224" s="6">
        <v>41859000</v>
      </c>
      <c r="I224" s="6">
        <v>45237000</v>
      </c>
      <c r="J224" s="6">
        <v>15488000</v>
      </c>
      <c r="K224" s="6">
        <v>13859000</v>
      </c>
      <c r="L224" s="6">
        <v>12703000</v>
      </c>
      <c r="M224" s="6">
        <v>12023000</v>
      </c>
      <c r="N224" s="6">
        <v>12531000</v>
      </c>
      <c r="O224" s="6">
        <v>9983000</v>
      </c>
      <c r="P224" s="6">
        <v>75600000</v>
      </c>
      <c r="Q224" s="6">
        <v>70603000</v>
      </c>
      <c r="R224" s="6">
        <v>64968000</v>
      </c>
      <c r="S224" s="6">
        <v>60233000</v>
      </c>
      <c r="T224" s="6">
        <v>58752000</v>
      </c>
      <c r="U224" s="6">
        <v>51533000</v>
      </c>
    </row>
    <row r="225" spans="1:21" ht="15">
      <c r="A225" s="2" t="s">
        <v>448</v>
      </c>
      <c r="B225" s="5">
        <v>102953</v>
      </c>
      <c r="C225" s="2" t="s">
        <v>449</v>
      </c>
      <c r="D225" s="6">
        <v>10144154</v>
      </c>
      <c r="E225" s="6">
        <v>6477874</v>
      </c>
      <c r="F225" s="6">
        <v>6374536</v>
      </c>
      <c r="G225" s="6">
        <v>6706128</v>
      </c>
      <c r="H225" s="6">
        <v>7083042</v>
      </c>
      <c r="I225" s="6">
        <v>9023269</v>
      </c>
      <c r="J225" s="6">
        <v>1555855</v>
      </c>
      <c r="K225" s="6">
        <v>1456178</v>
      </c>
      <c r="L225" s="6">
        <v>1151196</v>
      </c>
      <c r="M225" s="6">
        <v>1080661</v>
      </c>
      <c r="N225" s="6">
        <v>1004164</v>
      </c>
      <c r="O225" s="6">
        <v>741038</v>
      </c>
      <c r="P225" s="6">
        <v>2822512</v>
      </c>
      <c r="Q225" s="6">
        <v>2700449</v>
      </c>
      <c r="R225" s="6">
        <v>2181003</v>
      </c>
      <c r="S225" s="6">
        <v>2061178</v>
      </c>
      <c r="T225" s="6">
        <v>1896184</v>
      </c>
      <c r="U225" s="6">
        <v>1644875</v>
      </c>
    </row>
    <row r="226" spans="1:21" ht="15">
      <c r="A226" s="2" t="s">
        <v>450</v>
      </c>
      <c r="B226" s="5">
        <v>4811795</v>
      </c>
      <c r="C226" s="2" t="s">
        <v>451</v>
      </c>
      <c r="D226" s="6">
        <v>3439000</v>
      </c>
      <c r="E226" s="6">
        <v>1002418</v>
      </c>
      <c r="F226" s="6">
        <v>1217000</v>
      </c>
      <c r="G226" s="6">
        <v>1497000</v>
      </c>
      <c r="H226" s="6">
        <v>2751000</v>
      </c>
      <c r="I226" s="6">
        <v>2873000</v>
      </c>
      <c r="J226" s="6">
        <v>1023000</v>
      </c>
      <c r="K226" s="6">
        <v>1019000</v>
      </c>
      <c r="L226" s="6">
        <v>950000</v>
      </c>
      <c r="M226" s="6">
        <v>1081000</v>
      </c>
      <c r="N226" s="6">
        <v>1070000</v>
      </c>
      <c r="O226" s="6">
        <v>753000</v>
      </c>
      <c r="P226" s="6">
        <v>13184000</v>
      </c>
      <c r="Q226" s="6">
        <v>12673000</v>
      </c>
      <c r="R226" s="6">
        <v>12339000</v>
      </c>
      <c r="S226" s="6">
        <v>12647000</v>
      </c>
      <c r="T226" s="6">
        <v>12401000</v>
      </c>
      <c r="U226" s="6">
        <v>10119000</v>
      </c>
    </row>
    <row r="227" spans="1:21" ht="15">
      <c r="A227" s="2" t="s">
        <v>452</v>
      </c>
      <c r="B227" s="5">
        <v>4641383</v>
      </c>
      <c r="C227" s="2" t="s">
        <v>453</v>
      </c>
      <c r="D227" s="6">
        <v>24077000</v>
      </c>
      <c r="E227" s="6">
        <v>17029000</v>
      </c>
      <c r="F227" s="6">
        <v>14578000</v>
      </c>
      <c r="G227" s="6">
        <v>13662000</v>
      </c>
      <c r="H227" s="6">
        <v>13666000</v>
      </c>
      <c r="I227" s="6">
        <v>19816000</v>
      </c>
      <c r="J227" s="6">
        <v>4491000</v>
      </c>
      <c r="K227" s="6">
        <v>5059000</v>
      </c>
      <c r="L227" s="6">
        <v>5061000</v>
      </c>
      <c r="M227" s="6">
        <v>4858000</v>
      </c>
      <c r="N227" s="6">
        <v>4853000</v>
      </c>
      <c r="O227" s="6">
        <v>4263000</v>
      </c>
      <c r="P227" s="6">
        <v>34296000</v>
      </c>
      <c r="Q227" s="6">
        <v>30127000</v>
      </c>
      <c r="R227" s="6">
        <v>29135000</v>
      </c>
      <c r="S227" s="6">
        <v>28496000</v>
      </c>
      <c r="T227" s="6">
        <v>27784000</v>
      </c>
      <c r="U227" s="6">
        <v>26982000</v>
      </c>
    </row>
    <row r="228" spans="1:21" ht="15">
      <c r="A228" s="2" t="s">
        <v>454</v>
      </c>
      <c r="B228" s="5">
        <v>4019144</v>
      </c>
      <c r="C228" s="2" t="s">
        <v>455</v>
      </c>
      <c r="D228" s="6">
        <v>13214000</v>
      </c>
      <c r="E228" s="6">
        <v>11710000</v>
      </c>
      <c r="F228" s="6">
        <v>9817000</v>
      </c>
      <c r="G228" s="6">
        <v>9691000</v>
      </c>
      <c r="H228" s="6">
        <v>10120000</v>
      </c>
      <c r="I228" s="6">
        <v>12003000</v>
      </c>
      <c r="J228" s="6">
        <v>2852000</v>
      </c>
      <c r="K228" s="6">
        <v>2501000</v>
      </c>
      <c r="L228" s="6">
        <v>2413000</v>
      </c>
      <c r="M228" s="6">
        <v>2273000</v>
      </c>
      <c r="N228" s="6">
        <v>1220000</v>
      </c>
      <c r="O228" s="6">
        <v>219000</v>
      </c>
      <c r="P228" s="6">
        <v>4954000</v>
      </c>
      <c r="Q228" s="6">
        <v>4746000</v>
      </c>
      <c r="R228" s="6">
        <v>4408000</v>
      </c>
      <c r="S228" s="6">
        <v>3736000</v>
      </c>
      <c r="T228" s="6">
        <v>2444000</v>
      </c>
      <c r="U228" s="6">
        <v>1600000</v>
      </c>
    </row>
    <row r="229" spans="1:21" ht="15">
      <c r="A229" s="2" t="s">
        <v>456</v>
      </c>
      <c r="B229" s="5">
        <v>4121346</v>
      </c>
      <c r="C229" s="2" t="s">
        <v>457</v>
      </c>
      <c r="D229" s="6">
        <v>35563000</v>
      </c>
      <c r="E229" s="6">
        <v>23212000</v>
      </c>
      <c r="F229" s="6">
        <v>20631000</v>
      </c>
      <c r="G229" s="6">
        <v>20537000</v>
      </c>
      <c r="H229" s="6">
        <v>21536000</v>
      </c>
      <c r="I229" s="6">
        <v>32077000</v>
      </c>
      <c r="J229" s="6">
        <v>8468000</v>
      </c>
      <c r="K229" s="6">
        <v>8405000</v>
      </c>
      <c r="L229" s="6">
        <v>7578000</v>
      </c>
      <c r="M229" s="6">
        <v>8274000</v>
      </c>
      <c r="N229" s="6">
        <v>8696000</v>
      </c>
      <c r="O229" s="6">
        <v>7656000</v>
      </c>
      <c r="P229" s="6">
        <v>37442000</v>
      </c>
      <c r="Q229" s="6">
        <v>34717000</v>
      </c>
      <c r="R229" s="6">
        <v>33009000</v>
      </c>
      <c r="S229" s="6">
        <v>35466000</v>
      </c>
      <c r="T229" s="6">
        <v>34392000</v>
      </c>
      <c r="U229" s="6">
        <v>32637000</v>
      </c>
    </row>
    <row r="230" spans="1:21" ht="15">
      <c r="A230" s="2" t="s">
        <v>458</v>
      </c>
      <c r="B230" s="5">
        <v>4068867</v>
      </c>
      <c r="C230" s="2" t="s">
        <v>459</v>
      </c>
      <c r="D230" s="6">
        <v>3025410</v>
      </c>
      <c r="E230" s="6">
        <v>1358778</v>
      </c>
      <c r="F230" s="6">
        <v>3399013</v>
      </c>
      <c r="G230" s="6">
        <v>3376099</v>
      </c>
      <c r="H230" s="6">
        <v>3444723</v>
      </c>
      <c r="I230" s="6">
        <v>3012111</v>
      </c>
      <c r="J230" s="6">
        <v>1224557</v>
      </c>
      <c r="K230" s="6">
        <v>1352441</v>
      </c>
      <c r="L230" s="6">
        <v>1310985</v>
      </c>
      <c r="M230" s="6">
        <v>1521306</v>
      </c>
      <c r="N230" s="6">
        <v>1327347</v>
      </c>
      <c r="O230" s="6">
        <v>1270430</v>
      </c>
      <c r="P230" s="6">
        <v>12106160</v>
      </c>
      <c r="Q230" s="6">
        <v>11920797</v>
      </c>
      <c r="R230" s="6">
        <v>12110010</v>
      </c>
      <c r="S230" s="6">
        <v>12458806</v>
      </c>
      <c r="T230" s="6">
        <v>11386189</v>
      </c>
      <c r="U230" s="6">
        <v>9608462</v>
      </c>
    </row>
    <row r="231" spans="1:21" ht="15">
      <c r="A231" s="2" t="s">
        <v>460</v>
      </c>
      <c r="B231" s="5">
        <v>4041118</v>
      </c>
      <c r="C231" s="2" t="s">
        <v>461</v>
      </c>
      <c r="D231" s="6">
        <v>5640000</v>
      </c>
      <c r="E231" s="6">
        <v>6151000</v>
      </c>
      <c r="F231" s="6">
        <v>5455000</v>
      </c>
      <c r="G231" s="6">
        <v>4783000</v>
      </c>
      <c r="H231" s="6">
        <v>4772000</v>
      </c>
      <c r="I231" s="6">
        <v>5643000</v>
      </c>
      <c r="J231" s="6">
        <v>1644000</v>
      </c>
      <c r="K231" s="6">
        <v>1540000</v>
      </c>
      <c r="L231" s="6">
        <v>1444000</v>
      </c>
      <c r="M231" s="6">
        <v>1425000</v>
      </c>
      <c r="N231" s="6">
        <v>535000</v>
      </c>
      <c r="O231" s="6">
        <v>-318000</v>
      </c>
      <c r="P231" s="6">
        <v>6132000</v>
      </c>
      <c r="Q231" s="6">
        <v>5691000</v>
      </c>
      <c r="R231" s="6">
        <v>5317000</v>
      </c>
      <c r="S231" s="6">
        <v>4910000</v>
      </c>
      <c r="T231" s="6">
        <v>2921000</v>
      </c>
      <c r="U231" s="6">
        <v>1590000</v>
      </c>
    </row>
    <row r="232" spans="1:21" ht="15">
      <c r="A232" s="2" t="s">
        <v>462</v>
      </c>
      <c r="B232" s="5">
        <v>6661591</v>
      </c>
      <c r="C232" s="2" t="s">
        <v>463</v>
      </c>
      <c r="D232" s="6">
        <v>3213000</v>
      </c>
      <c r="E232" s="6">
        <v>5213000</v>
      </c>
      <c r="F232" s="6">
        <v>4346000</v>
      </c>
      <c r="G232" s="6">
        <v>4277000</v>
      </c>
      <c r="H232" s="6">
        <v>3835000</v>
      </c>
      <c r="I232" s="6">
        <v>3471000</v>
      </c>
      <c r="J232" s="6">
        <v>2388000</v>
      </c>
      <c r="K232" s="6">
        <v>1884000</v>
      </c>
      <c r="L232" s="6">
        <v>1457000</v>
      </c>
      <c r="M232" s="6">
        <v>1260000</v>
      </c>
      <c r="N232" s="6">
        <v>1095000</v>
      </c>
      <c r="O232" s="6">
        <v>1103000</v>
      </c>
      <c r="P232" s="6">
        <v>8252000</v>
      </c>
      <c r="Q232" s="6">
        <v>7430000</v>
      </c>
      <c r="R232" s="6">
        <v>6640000</v>
      </c>
      <c r="S232" s="6">
        <v>5663000</v>
      </c>
      <c r="T232" s="6">
        <v>4972000</v>
      </c>
      <c r="U232" s="6">
        <v>5259000</v>
      </c>
    </row>
    <row r="233" spans="1:21" ht="15">
      <c r="A233" s="2" t="s">
        <v>464</v>
      </c>
      <c r="B233" s="5">
        <v>105223</v>
      </c>
      <c r="C233" s="2" t="s">
        <v>465</v>
      </c>
      <c r="D233" s="6">
        <v>10882000</v>
      </c>
      <c r="E233" s="6">
        <v>7399000</v>
      </c>
      <c r="F233" s="6">
        <v>8802000</v>
      </c>
      <c r="G233" s="6">
        <v>12372000</v>
      </c>
      <c r="H233" s="6">
        <v>10797000</v>
      </c>
      <c r="I233" s="6">
        <v>10899000</v>
      </c>
      <c r="J233" s="6">
        <v>4474000</v>
      </c>
      <c r="K233" s="6">
        <v>5044000</v>
      </c>
      <c r="L233" s="6">
        <v>5188000</v>
      </c>
      <c r="M233" s="6">
        <v>6293000</v>
      </c>
      <c r="N233" s="6">
        <v>6462000</v>
      </c>
      <c r="O233" s="6">
        <v>4946000</v>
      </c>
      <c r="P233" s="6">
        <v>55295000</v>
      </c>
      <c r="Q233" s="6">
        <v>53559000</v>
      </c>
      <c r="R233" s="6">
        <v>53718000</v>
      </c>
      <c r="S233" s="6">
        <v>62910000</v>
      </c>
      <c r="T233" s="6">
        <v>63460000</v>
      </c>
      <c r="U233" s="6">
        <v>56639000</v>
      </c>
    </row>
    <row r="234" spans="1:21" ht="15">
      <c r="A234" s="2" t="s">
        <v>466</v>
      </c>
      <c r="B234" s="5">
        <v>4992018</v>
      </c>
      <c r="C234" s="2" t="s">
        <v>467</v>
      </c>
      <c r="D234" s="6">
        <v>2487300</v>
      </c>
      <c r="E234" s="6">
        <v>1692500</v>
      </c>
      <c r="F234" s="6">
        <v>1530600</v>
      </c>
      <c r="G234" s="6">
        <v>1558000</v>
      </c>
      <c r="H234" s="6">
        <v>2290000</v>
      </c>
      <c r="I234" s="6">
        <v>1719600</v>
      </c>
      <c r="J234" s="6">
        <v>1411700</v>
      </c>
      <c r="K234" s="6">
        <v>1314900</v>
      </c>
      <c r="L234" s="6">
        <v>1173500</v>
      </c>
      <c r="M234" s="6">
        <v>854300</v>
      </c>
      <c r="N234" s="6">
        <v>675700</v>
      </c>
      <c r="O234" s="6">
        <v>641800</v>
      </c>
      <c r="P234" s="6">
        <v>5844600</v>
      </c>
      <c r="Q234" s="6">
        <v>5628500</v>
      </c>
      <c r="R234" s="6">
        <v>5372900</v>
      </c>
      <c r="S234" s="6">
        <v>4947900</v>
      </c>
      <c r="T234" s="6">
        <v>4194100</v>
      </c>
      <c r="U234" s="6">
        <v>3682500</v>
      </c>
    </row>
    <row r="235" spans="1:21" ht="15">
      <c r="A235" s="2" t="s">
        <v>468</v>
      </c>
      <c r="B235" s="5">
        <v>111564</v>
      </c>
      <c r="C235" s="2" t="s">
        <v>469</v>
      </c>
      <c r="D235" s="6">
        <v>13270000</v>
      </c>
      <c r="E235" s="6">
        <v>7464000</v>
      </c>
      <c r="F235" s="6">
        <v>13551000</v>
      </c>
      <c r="G235" s="6">
        <v>12032000</v>
      </c>
      <c r="H235" s="6">
        <v>12602000</v>
      </c>
      <c r="I235" s="6">
        <v>12775000</v>
      </c>
      <c r="J235" s="6">
        <v>3569000</v>
      </c>
      <c r="K235" s="6">
        <v>3351000</v>
      </c>
      <c r="L235" s="6">
        <v>4902000</v>
      </c>
      <c r="M235" s="6">
        <v>4593000</v>
      </c>
      <c r="N235" s="6">
        <v>3418000</v>
      </c>
      <c r="O235" s="6">
        <v>5251000</v>
      </c>
      <c r="P235" s="6">
        <v>129664000</v>
      </c>
      <c r="Q235" s="6">
        <v>117761000</v>
      </c>
      <c r="R235" s="6">
        <v>106374000</v>
      </c>
      <c r="S235" s="6">
        <v>92870000</v>
      </c>
      <c r="T235" s="6">
        <v>83064000</v>
      </c>
      <c r="U235" s="6">
        <v>77155000</v>
      </c>
    </row>
    <row r="236" spans="1:21" ht="15">
      <c r="A236" s="2" t="s">
        <v>470</v>
      </c>
      <c r="B236" s="5">
        <v>100307</v>
      </c>
      <c r="C236" s="2" t="s">
        <v>471</v>
      </c>
      <c r="D236" s="6">
        <v>19286000</v>
      </c>
      <c r="E236" s="6">
        <v>8871000</v>
      </c>
      <c r="F236" s="6">
        <v>8002000</v>
      </c>
      <c r="G236" s="6">
        <v>13184000</v>
      </c>
      <c r="H236" s="6">
        <v>14132000</v>
      </c>
      <c r="I236" s="6">
        <v>17576000</v>
      </c>
      <c r="J236" s="7" t="s">
        <v>61</v>
      </c>
      <c r="K236" s="7" t="s">
        <v>61</v>
      </c>
      <c r="L236" s="7" t="s">
        <v>61</v>
      </c>
      <c r="M236" s="7" t="s">
        <v>61</v>
      </c>
      <c r="N236" s="7" t="s">
        <v>61</v>
      </c>
      <c r="O236" s="7" t="s">
        <v>61</v>
      </c>
      <c r="P236" s="6">
        <v>7692000</v>
      </c>
      <c r="Q236" s="6">
        <v>6947000</v>
      </c>
      <c r="R236" s="6">
        <v>6945000</v>
      </c>
      <c r="S236" s="6">
        <v>6956000</v>
      </c>
      <c r="T236" s="6">
        <v>5958000</v>
      </c>
      <c r="U236" s="6">
        <v>3763000</v>
      </c>
    </row>
    <row r="237" spans="1:21" ht="15">
      <c r="A237" s="2" t="s">
        <v>472</v>
      </c>
      <c r="B237" s="5">
        <v>4436418</v>
      </c>
      <c r="C237" s="2" t="s">
        <v>473</v>
      </c>
      <c r="D237" s="6">
        <v>2981000</v>
      </c>
      <c r="E237" s="6">
        <v>1880000</v>
      </c>
      <c r="F237" s="6">
        <v>3544000</v>
      </c>
      <c r="G237" s="6">
        <v>3203000</v>
      </c>
      <c r="H237" s="6">
        <v>2724000</v>
      </c>
      <c r="I237" s="6">
        <v>3459000</v>
      </c>
      <c r="J237" s="6">
        <v>1130000</v>
      </c>
      <c r="K237" s="6">
        <v>991000</v>
      </c>
      <c r="L237" s="6">
        <v>1119000</v>
      </c>
      <c r="M237" s="6">
        <v>1151000</v>
      </c>
      <c r="N237" s="6">
        <v>946000</v>
      </c>
      <c r="O237" s="6">
        <v>1133000</v>
      </c>
      <c r="P237" s="6">
        <v>12484000</v>
      </c>
      <c r="Q237" s="6">
        <v>11535000</v>
      </c>
      <c r="R237" s="6">
        <v>11454000</v>
      </c>
      <c r="S237" s="6">
        <v>10676000</v>
      </c>
      <c r="T237" s="6">
        <v>9524000</v>
      </c>
      <c r="U237" s="6">
        <v>9361000</v>
      </c>
    </row>
    <row r="238" spans="1:21" ht="15">
      <c r="A238" s="2" t="s">
        <v>474</v>
      </c>
      <c r="B238" s="5">
        <v>4992897</v>
      </c>
      <c r="C238" s="2" t="s">
        <v>475</v>
      </c>
      <c r="D238" s="6">
        <v>1942700</v>
      </c>
      <c r="E238" s="6">
        <v>1155500</v>
      </c>
      <c r="F238" s="6">
        <v>1301300</v>
      </c>
      <c r="G238" s="6">
        <v>1586900</v>
      </c>
      <c r="H238" s="6">
        <v>1445800</v>
      </c>
      <c r="I238" s="6">
        <v>2087900</v>
      </c>
      <c r="J238" s="6">
        <v>931400</v>
      </c>
      <c r="K238" s="6">
        <v>881400</v>
      </c>
      <c r="L238" s="6">
        <v>903700</v>
      </c>
      <c r="M238" s="6">
        <v>908600</v>
      </c>
      <c r="N238" s="6">
        <v>757100</v>
      </c>
      <c r="O238" s="6">
        <v>621600</v>
      </c>
      <c r="P238" s="6">
        <v>3457500</v>
      </c>
      <c r="Q238" s="6">
        <v>3268800</v>
      </c>
      <c r="R238" s="6">
        <v>3273900</v>
      </c>
      <c r="S238" s="6">
        <v>3181900</v>
      </c>
      <c r="T238" s="6">
        <v>2764800</v>
      </c>
      <c r="U238" s="6">
        <v>2351600</v>
      </c>
    </row>
    <row r="239" spans="1:21" ht="15">
      <c r="A239" s="2" t="s">
        <v>476</v>
      </c>
      <c r="B239" s="5">
        <v>4811348</v>
      </c>
      <c r="C239" s="2" t="s">
        <v>477</v>
      </c>
      <c r="D239" s="6">
        <v>976508</v>
      </c>
      <c r="E239" s="6">
        <v>1003252</v>
      </c>
      <c r="F239" s="6">
        <v>1031009</v>
      </c>
      <c r="G239" s="6">
        <v>1470033</v>
      </c>
      <c r="H239" s="6">
        <v>1067353</v>
      </c>
      <c r="I239" s="6">
        <v>986948</v>
      </c>
      <c r="J239" s="6">
        <v>1505214</v>
      </c>
      <c r="K239" s="6">
        <v>1319773</v>
      </c>
      <c r="L239" s="6">
        <v>1212036</v>
      </c>
      <c r="M239" s="6">
        <v>1010665</v>
      </c>
      <c r="N239" s="6">
        <v>1036624</v>
      </c>
      <c r="O239" s="6">
        <v>790522</v>
      </c>
      <c r="P239" s="6">
        <v>4303702</v>
      </c>
      <c r="Q239" s="6">
        <v>3897504</v>
      </c>
      <c r="R239" s="6">
        <v>3660953</v>
      </c>
      <c r="S239" s="6">
        <v>3367324</v>
      </c>
      <c r="T239" s="6">
        <v>3215360</v>
      </c>
      <c r="U239" s="6">
        <v>2706655</v>
      </c>
    </row>
    <row r="240" spans="1:21" ht="15">
      <c r="A240" s="2" t="s">
        <v>478</v>
      </c>
      <c r="B240" s="5">
        <v>4992234</v>
      </c>
      <c r="C240" s="2" t="s">
        <v>479</v>
      </c>
      <c r="D240" s="6">
        <v>9211000</v>
      </c>
      <c r="E240" s="6">
        <v>8310000</v>
      </c>
      <c r="F240" s="6">
        <v>7881000</v>
      </c>
      <c r="G240" s="6">
        <v>7949000</v>
      </c>
      <c r="H240" s="6">
        <v>8370000</v>
      </c>
      <c r="I240" s="6">
        <v>8078000</v>
      </c>
      <c r="J240" s="6">
        <v>4655000</v>
      </c>
      <c r="K240" s="6">
        <v>4694000</v>
      </c>
      <c r="L240" s="6">
        <v>4468000</v>
      </c>
      <c r="M240" s="6">
        <v>4241000</v>
      </c>
      <c r="N240" s="6">
        <v>3910000</v>
      </c>
      <c r="O240" s="6">
        <v>3322000</v>
      </c>
      <c r="P240" s="6">
        <v>16044000</v>
      </c>
      <c r="Q240" s="6">
        <v>15898000</v>
      </c>
      <c r="R240" s="6">
        <v>16107000</v>
      </c>
      <c r="S240" s="6">
        <v>15932000</v>
      </c>
      <c r="T240" s="6">
        <v>14455000</v>
      </c>
      <c r="U240" s="6">
        <v>12574000</v>
      </c>
    </row>
    <row r="241" spans="1:21" ht="15">
      <c r="A241" s="2" t="s">
        <v>480</v>
      </c>
      <c r="B241" s="5">
        <v>4810794</v>
      </c>
      <c r="C241" s="2" t="s">
        <v>481</v>
      </c>
      <c r="D241" s="6">
        <v>54920</v>
      </c>
      <c r="E241" s="6">
        <v>61719</v>
      </c>
      <c r="F241" s="6">
        <v>60429</v>
      </c>
      <c r="G241" s="6">
        <v>55566</v>
      </c>
      <c r="H241" s="6">
        <v>52571</v>
      </c>
      <c r="I241" s="6">
        <v>60337</v>
      </c>
      <c r="J241" s="6">
        <v>1439770</v>
      </c>
      <c r="K241" s="6">
        <v>173697</v>
      </c>
      <c r="L241" s="6">
        <v>740655</v>
      </c>
      <c r="M241" s="6">
        <v>665348</v>
      </c>
      <c r="N241" s="6">
        <v>659659</v>
      </c>
      <c r="O241" s="6">
        <v>-186834</v>
      </c>
      <c r="P241" s="6">
        <v>5141242</v>
      </c>
      <c r="Q241" s="6">
        <v>4241217</v>
      </c>
      <c r="R241" s="6">
        <v>3695649</v>
      </c>
      <c r="S241" s="6">
        <v>3394635</v>
      </c>
      <c r="T241" s="6">
        <v>2986267</v>
      </c>
      <c r="U241" s="6">
        <v>2666702</v>
      </c>
    </row>
    <row r="242" spans="1:21" ht="15">
      <c r="A242" s="2" t="s">
        <v>482</v>
      </c>
      <c r="B242" s="5">
        <v>4380458</v>
      </c>
      <c r="C242" s="2" t="s">
        <v>483</v>
      </c>
      <c r="D242" s="6">
        <v>5148000</v>
      </c>
      <c r="E242" s="6">
        <v>4037100</v>
      </c>
      <c r="F242" s="6">
        <v>3536500</v>
      </c>
      <c r="G242" s="6">
        <v>2901300</v>
      </c>
      <c r="H242" s="6">
        <v>2945200</v>
      </c>
      <c r="I242" s="6">
        <v>4980200</v>
      </c>
      <c r="J242" s="6">
        <v>2015800</v>
      </c>
      <c r="K242" s="6">
        <v>1936300</v>
      </c>
      <c r="L242" s="6">
        <v>1700600</v>
      </c>
      <c r="M242" s="6">
        <v>1312200</v>
      </c>
      <c r="N242" s="6">
        <v>1044500</v>
      </c>
      <c r="O242" s="6">
        <v>686900</v>
      </c>
      <c r="P242" s="6">
        <v>7650900</v>
      </c>
      <c r="Q242" s="6">
        <v>7235000</v>
      </c>
      <c r="R242" s="6">
        <v>6876100</v>
      </c>
      <c r="S242" s="6">
        <v>5916300</v>
      </c>
      <c r="T242" s="6">
        <v>5152400</v>
      </c>
      <c r="U242" s="6">
        <v>3973200</v>
      </c>
    </row>
    <row r="243" spans="1:21" ht="15">
      <c r="A243" s="2" t="s">
        <v>484</v>
      </c>
      <c r="B243" s="5">
        <v>4811052</v>
      </c>
      <c r="C243" s="2" t="s">
        <v>485</v>
      </c>
      <c r="D243" s="6">
        <v>1002700</v>
      </c>
      <c r="E243" s="6">
        <v>1076200</v>
      </c>
      <c r="F243" s="6">
        <v>1286500</v>
      </c>
      <c r="G243" s="6">
        <v>1432800</v>
      </c>
      <c r="H243" s="6">
        <v>1448800</v>
      </c>
      <c r="I243" s="6">
        <v>1434200</v>
      </c>
      <c r="J243" s="6">
        <v>564200</v>
      </c>
      <c r="K243" s="6">
        <v>389700</v>
      </c>
      <c r="L243" s="6">
        <v>292900</v>
      </c>
      <c r="M243" s="6">
        <v>120800</v>
      </c>
      <c r="N243" s="6">
        <v>183400</v>
      </c>
      <c r="O243" s="6">
        <v>106900</v>
      </c>
      <c r="P243" s="6">
        <v>2708100</v>
      </c>
      <c r="Q243" s="6">
        <v>2071600</v>
      </c>
      <c r="R243" s="6">
        <v>1697100</v>
      </c>
      <c r="S243" s="6">
        <v>1305300</v>
      </c>
      <c r="T243" s="6">
        <v>1098800</v>
      </c>
      <c r="U243" s="6">
        <v>904400</v>
      </c>
    </row>
    <row r="244" spans="1:21" ht="15">
      <c r="A244" s="2" t="s">
        <v>486</v>
      </c>
      <c r="B244" s="5">
        <v>4025746</v>
      </c>
      <c r="C244" s="2" t="s">
        <v>487</v>
      </c>
      <c r="D244" s="6">
        <v>47109000</v>
      </c>
      <c r="E244" s="6">
        <v>36529000</v>
      </c>
      <c r="F244" s="6">
        <v>38166000</v>
      </c>
      <c r="G244" s="6">
        <v>42063000</v>
      </c>
      <c r="H244" s="6">
        <v>49697000</v>
      </c>
      <c r="I244" s="6">
        <v>50471000</v>
      </c>
      <c r="J244" s="6">
        <v>12633000</v>
      </c>
      <c r="K244" s="6">
        <v>9971000</v>
      </c>
      <c r="L244" s="6">
        <v>9633000</v>
      </c>
      <c r="M244" s="6">
        <v>16951000</v>
      </c>
      <c r="N244" s="6">
        <v>33874000</v>
      </c>
      <c r="O244" s="6">
        <v>36115000</v>
      </c>
      <c r="P244" s="6">
        <v>52853000</v>
      </c>
      <c r="Q244" s="6">
        <v>53101000</v>
      </c>
      <c r="R244" s="6">
        <v>54228000</v>
      </c>
      <c r="S244" s="6">
        <v>63054000</v>
      </c>
      <c r="T244" s="6">
        <v>79024000</v>
      </c>
      <c r="U244" s="6">
        <v>77867000</v>
      </c>
    </row>
    <row r="245" spans="1:21" ht="15">
      <c r="A245" s="2" t="s">
        <v>488</v>
      </c>
      <c r="B245" s="5">
        <v>4153870</v>
      </c>
      <c r="C245" s="2" t="s">
        <v>489</v>
      </c>
      <c r="D245" s="6">
        <v>25453000</v>
      </c>
      <c r="E245" s="6">
        <v>10109000</v>
      </c>
      <c r="F245" s="6">
        <v>11951000</v>
      </c>
      <c r="G245" s="6">
        <v>9116000</v>
      </c>
      <c r="H245" s="6">
        <v>11616000</v>
      </c>
      <c r="I245" s="6">
        <v>16542000</v>
      </c>
      <c r="J245" s="7" t="s">
        <v>61</v>
      </c>
      <c r="K245" s="7" t="s">
        <v>61</v>
      </c>
      <c r="L245" s="7" t="s">
        <v>61</v>
      </c>
      <c r="M245" s="7" t="s">
        <v>61</v>
      </c>
      <c r="N245" s="7" t="s">
        <v>61</v>
      </c>
      <c r="O245" s="7" t="s">
        <v>61</v>
      </c>
      <c r="P245" s="6">
        <v>6209000</v>
      </c>
      <c r="Q245" s="6">
        <v>5200000</v>
      </c>
      <c r="R245" s="6">
        <v>4420000</v>
      </c>
      <c r="S245" s="6">
        <v>3167000</v>
      </c>
      <c r="T245" s="6">
        <v>2751000</v>
      </c>
      <c r="U245" s="6">
        <v>2237000</v>
      </c>
    </row>
    <row r="246" spans="1:21" ht="15">
      <c r="A246" s="2" t="s">
        <v>490</v>
      </c>
      <c r="B246" s="5">
        <v>4099823</v>
      </c>
      <c r="C246" s="2" t="s">
        <v>491</v>
      </c>
      <c r="D246" s="6">
        <v>20316000</v>
      </c>
      <c r="E246" s="6">
        <v>16926000</v>
      </c>
      <c r="F246" s="6">
        <v>14242000</v>
      </c>
      <c r="G246" s="6">
        <v>18441000</v>
      </c>
      <c r="H246" s="6">
        <v>22972000</v>
      </c>
      <c r="I246" s="6">
        <v>20740000</v>
      </c>
      <c r="J246" s="6">
        <v>6176000</v>
      </c>
      <c r="K246" s="6">
        <v>5635000</v>
      </c>
      <c r="L246" s="6">
        <v>4894000</v>
      </c>
      <c r="M246" s="6">
        <v>4515000</v>
      </c>
      <c r="N246" s="6">
        <v>4347000</v>
      </c>
      <c r="O246" s="6">
        <v>3699000</v>
      </c>
      <c r="P246" s="6">
        <v>9931000</v>
      </c>
      <c r="Q246" s="6">
        <v>9279000</v>
      </c>
      <c r="R246" s="6">
        <v>7988000</v>
      </c>
      <c r="S246" s="6">
        <v>7292000</v>
      </c>
      <c r="T246" s="6">
        <v>7146000</v>
      </c>
      <c r="U246" s="6">
        <v>6036000</v>
      </c>
    </row>
    <row r="247" spans="1:21" ht="15">
      <c r="A247" s="2" t="s">
        <v>492</v>
      </c>
      <c r="B247" s="5">
        <v>4000193</v>
      </c>
      <c r="C247" s="2" t="s">
        <v>493</v>
      </c>
      <c r="D247" s="6">
        <v>64607000</v>
      </c>
      <c r="E247" s="6">
        <v>65088000</v>
      </c>
      <c r="F247" s="6">
        <v>55140000</v>
      </c>
      <c r="G247" s="6">
        <v>54013000</v>
      </c>
      <c r="H247" s="6">
        <v>59935000</v>
      </c>
      <c r="I247" s="6">
        <v>58396000</v>
      </c>
      <c r="J247" s="6">
        <v>16118000</v>
      </c>
      <c r="K247" s="6">
        <v>12886000</v>
      </c>
      <c r="L247" s="6">
        <v>12257000</v>
      </c>
      <c r="M247" s="6">
        <v>10775000</v>
      </c>
      <c r="N247" s="6">
        <v>11309000</v>
      </c>
      <c r="O247" s="6">
        <v>11357000</v>
      </c>
      <c r="P247" s="6">
        <v>67535000</v>
      </c>
      <c r="Q247" s="6">
        <v>62753000</v>
      </c>
      <c r="R247" s="6">
        <v>61860000</v>
      </c>
      <c r="S247" s="6">
        <v>60530000</v>
      </c>
      <c r="T247" s="6">
        <v>57351000</v>
      </c>
      <c r="U247" s="6">
        <v>55179000</v>
      </c>
    </row>
    <row r="248" spans="1:21" ht="15">
      <c r="A248" s="2" t="s">
        <v>494</v>
      </c>
      <c r="B248" s="5">
        <v>4985791</v>
      </c>
      <c r="C248" s="2" t="s">
        <v>495</v>
      </c>
      <c r="D248" s="6">
        <v>6651000</v>
      </c>
      <c r="E248" s="6">
        <v>4726000</v>
      </c>
      <c r="F248" s="6">
        <v>12199000</v>
      </c>
      <c r="G248" s="6">
        <v>11745000</v>
      </c>
      <c r="H248" s="6">
        <v>10823000</v>
      </c>
      <c r="I248" s="6">
        <v>9637000</v>
      </c>
      <c r="J248" s="6">
        <v>1858000</v>
      </c>
      <c r="K248" s="6">
        <v>1738000</v>
      </c>
      <c r="L248" s="6">
        <v>1748000</v>
      </c>
      <c r="M248" s="6">
        <v>2246000</v>
      </c>
      <c r="N248" s="6">
        <v>1815000</v>
      </c>
      <c r="O248" s="6">
        <v>931000</v>
      </c>
      <c r="P248" s="6">
        <v>10890000</v>
      </c>
      <c r="Q248" s="6">
        <v>11484000</v>
      </c>
      <c r="R248" s="6">
        <v>11479000</v>
      </c>
      <c r="S248" s="6">
        <v>12440000</v>
      </c>
      <c r="T248" s="6">
        <v>11656000</v>
      </c>
      <c r="U248" s="6">
        <v>5084000</v>
      </c>
    </row>
    <row r="249" spans="1:21" ht="15">
      <c r="A249" s="2" t="s">
        <v>496</v>
      </c>
      <c r="B249" s="5">
        <v>4060689</v>
      </c>
      <c r="C249" s="2" t="s">
        <v>497</v>
      </c>
      <c r="D249" s="6">
        <v>10538000</v>
      </c>
      <c r="E249" s="6">
        <v>8458000</v>
      </c>
      <c r="F249" s="6">
        <v>5947000</v>
      </c>
      <c r="G249" s="6">
        <v>6009000</v>
      </c>
      <c r="H249" s="6">
        <v>6058000</v>
      </c>
      <c r="I249" s="6">
        <v>5966000</v>
      </c>
      <c r="J249" s="6">
        <v>3948000</v>
      </c>
      <c r="K249" s="6">
        <v>1916000</v>
      </c>
      <c r="L249" s="6">
        <v>2190000</v>
      </c>
      <c r="M249" s="6">
        <v>2986000</v>
      </c>
      <c r="N249" s="6">
        <v>2810000</v>
      </c>
      <c r="O249" s="6">
        <v>2545000</v>
      </c>
      <c r="P249" s="6">
        <v>23634000</v>
      </c>
      <c r="Q249" s="6">
        <v>15835000</v>
      </c>
      <c r="R249" s="6">
        <v>16033000</v>
      </c>
      <c r="S249" s="6">
        <v>21161000</v>
      </c>
      <c r="T249" s="6">
        <v>19363000</v>
      </c>
      <c r="U249" s="6">
        <v>17565000</v>
      </c>
    </row>
    <row r="250" spans="1:21" ht="15">
      <c r="A250" s="2" t="s">
        <v>498</v>
      </c>
      <c r="B250" s="5">
        <v>4048157</v>
      </c>
      <c r="C250" s="2" t="s">
        <v>499</v>
      </c>
      <c r="D250" s="6">
        <v>6639000</v>
      </c>
      <c r="E250" s="6">
        <v>3636000</v>
      </c>
      <c r="F250" s="6">
        <v>2480000</v>
      </c>
      <c r="G250" s="6">
        <v>7540000</v>
      </c>
      <c r="H250" s="6">
        <v>6689000</v>
      </c>
      <c r="I250" s="6">
        <v>6567000</v>
      </c>
      <c r="J250" s="6">
        <v>5591000</v>
      </c>
      <c r="K250" s="6">
        <v>4496000</v>
      </c>
      <c r="L250" s="6">
        <v>3784000</v>
      </c>
      <c r="M250" s="6">
        <v>3240000</v>
      </c>
      <c r="N250" s="6">
        <v>2844000</v>
      </c>
      <c r="O250" s="6">
        <v>2400000</v>
      </c>
      <c r="P250" s="6">
        <v>18831000</v>
      </c>
      <c r="Q250" s="6">
        <v>16285000</v>
      </c>
      <c r="R250" s="6">
        <v>14368000</v>
      </c>
      <c r="S250" s="6">
        <v>12726000</v>
      </c>
      <c r="T250" s="6">
        <v>9633000</v>
      </c>
      <c r="U250" s="6">
        <v>7679000</v>
      </c>
    </row>
    <row r="251" spans="1:21" ht="15">
      <c r="A251" s="2" t="s">
        <v>500</v>
      </c>
      <c r="B251" s="5">
        <v>4410647</v>
      </c>
      <c r="C251" s="2" t="s">
        <v>501</v>
      </c>
      <c r="D251" s="6">
        <v>170900</v>
      </c>
      <c r="E251" s="6">
        <v>79900</v>
      </c>
      <c r="F251" s="6">
        <v>87000</v>
      </c>
      <c r="G251" s="6">
        <v>93800</v>
      </c>
      <c r="H251" s="6">
        <v>89800</v>
      </c>
      <c r="I251" s="6">
        <v>146000</v>
      </c>
      <c r="J251" s="6">
        <v>3558000</v>
      </c>
      <c r="K251" s="6">
        <v>2804600</v>
      </c>
      <c r="L251" s="6">
        <v>2169000</v>
      </c>
      <c r="M251" s="6">
        <v>1959000</v>
      </c>
      <c r="N251" s="6">
        <v>2128400</v>
      </c>
      <c r="O251" s="6">
        <v>1320600</v>
      </c>
      <c r="P251" s="6">
        <v>10064700</v>
      </c>
      <c r="Q251" s="6">
        <v>8352100</v>
      </c>
      <c r="R251" s="6">
        <v>7124100</v>
      </c>
      <c r="S251" s="6">
        <v>6222200</v>
      </c>
      <c r="T251" s="6">
        <v>5710100</v>
      </c>
      <c r="U251" s="6">
        <v>4358400</v>
      </c>
    </row>
    <row r="252" spans="1:21" ht="15">
      <c r="A252" s="2" t="s">
        <v>502</v>
      </c>
      <c r="B252" s="5">
        <v>103661</v>
      </c>
      <c r="C252" s="2" t="s">
        <v>503</v>
      </c>
      <c r="D252" s="6">
        <v>2231800</v>
      </c>
      <c r="E252" s="6">
        <v>2401800</v>
      </c>
      <c r="F252" s="6">
        <v>2374900</v>
      </c>
      <c r="G252" s="6">
        <v>1967800</v>
      </c>
      <c r="H252" s="6">
        <v>1923200</v>
      </c>
      <c r="I252" s="6">
        <v>1345500</v>
      </c>
      <c r="J252" s="6">
        <v>1280000</v>
      </c>
      <c r="K252" s="6">
        <v>1211800</v>
      </c>
      <c r="L252" s="6">
        <v>1038500</v>
      </c>
      <c r="M252" s="6">
        <v>1464200</v>
      </c>
      <c r="N252" s="6">
        <v>1927600</v>
      </c>
      <c r="O252" s="6">
        <v>1454700</v>
      </c>
      <c r="P252" s="6">
        <v>6377100</v>
      </c>
      <c r="Q252" s="6">
        <v>6067000</v>
      </c>
      <c r="R252" s="6">
        <v>5716400</v>
      </c>
      <c r="S252" s="6">
        <v>6048900</v>
      </c>
      <c r="T252" s="6">
        <v>6894500</v>
      </c>
      <c r="U252" s="6">
        <v>6145600</v>
      </c>
    </row>
    <row r="253" spans="1:21" ht="15">
      <c r="A253" s="2" t="s">
        <v>504</v>
      </c>
      <c r="B253" s="5">
        <v>4426247</v>
      </c>
      <c r="C253" s="2" t="s">
        <v>505</v>
      </c>
      <c r="D253" s="6">
        <v>8431642</v>
      </c>
      <c r="E253" s="6">
        <v>8595441</v>
      </c>
      <c r="F253" s="6">
        <v>8288855</v>
      </c>
      <c r="G253" s="6">
        <v>7787485</v>
      </c>
      <c r="H253" s="6">
        <v>8560945</v>
      </c>
      <c r="I253" s="6">
        <v>8232842</v>
      </c>
      <c r="J253" s="6">
        <v>1490494</v>
      </c>
      <c r="K253" s="6">
        <v>1427759</v>
      </c>
      <c r="L253" s="6">
        <v>1356890</v>
      </c>
      <c r="M253" s="6">
        <v>1280517</v>
      </c>
      <c r="N253" s="6">
        <v>1142552</v>
      </c>
      <c r="O253" s="6">
        <v>1020968</v>
      </c>
      <c r="P253" s="6">
        <v>2717689</v>
      </c>
      <c r="Q253" s="6">
        <v>2590497</v>
      </c>
      <c r="R253" s="6">
        <v>2414401</v>
      </c>
      <c r="S253" s="6">
        <v>2228515</v>
      </c>
      <c r="T253" s="6">
        <v>1995069</v>
      </c>
      <c r="U253" s="6">
        <v>1822828</v>
      </c>
    </row>
    <row r="254" spans="1:21" ht="15">
      <c r="A254" s="2" t="s">
        <v>506</v>
      </c>
      <c r="B254" s="5">
        <v>4326091</v>
      </c>
      <c r="C254" s="2" t="s">
        <v>507</v>
      </c>
      <c r="D254" s="6">
        <v>16305000</v>
      </c>
      <c r="E254" s="6">
        <v>12960000</v>
      </c>
      <c r="F254" s="6">
        <v>12462000</v>
      </c>
      <c r="G254" s="6">
        <v>13011000</v>
      </c>
      <c r="H254" s="6">
        <v>13947000</v>
      </c>
      <c r="I254" s="6">
        <v>14161000</v>
      </c>
      <c r="J254" s="6">
        <v>2938000</v>
      </c>
      <c r="K254" s="6">
        <v>2921000</v>
      </c>
      <c r="L254" s="6">
        <v>2721000</v>
      </c>
      <c r="M254" s="6">
        <v>2571000</v>
      </c>
      <c r="N254" s="6">
        <v>2499000</v>
      </c>
      <c r="O254" s="6">
        <v>1830000</v>
      </c>
      <c r="P254" s="6">
        <v>16310000</v>
      </c>
      <c r="Q254" s="6">
        <v>15405000</v>
      </c>
      <c r="R254" s="6">
        <v>14984000</v>
      </c>
      <c r="S254" s="6">
        <v>14410000</v>
      </c>
      <c r="T254" s="6">
        <v>13874000</v>
      </c>
      <c r="U254" s="6">
        <v>11359000</v>
      </c>
    </row>
    <row r="255" spans="1:21" ht="15">
      <c r="A255" s="2" t="s">
        <v>508</v>
      </c>
      <c r="B255" s="5">
        <v>4094831</v>
      </c>
      <c r="C255" s="2" t="s">
        <v>509</v>
      </c>
      <c r="D255" s="6">
        <v>19123405</v>
      </c>
      <c r="E255" s="6">
        <v>11019213</v>
      </c>
      <c r="F255" s="6">
        <v>11703010</v>
      </c>
      <c r="G255" s="6">
        <v>13286900</v>
      </c>
      <c r="H255" s="6">
        <v>14790632</v>
      </c>
      <c r="I255" s="6">
        <v>16374638</v>
      </c>
      <c r="J255" s="6">
        <v>2328572</v>
      </c>
      <c r="K255" s="6">
        <v>2042213</v>
      </c>
      <c r="L255" s="6">
        <v>1830921</v>
      </c>
      <c r="M255" s="6">
        <v>1723267</v>
      </c>
      <c r="N255" s="6">
        <v>1542326</v>
      </c>
      <c r="O255" s="6">
        <v>1422524</v>
      </c>
      <c r="P255" s="6">
        <v>6901737</v>
      </c>
      <c r="Q255" s="6">
        <v>6149909</v>
      </c>
      <c r="R255" s="6">
        <v>5480289</v>
      </c>
      <c r="S255" s="6">
        <v>5103574</v>
      </c>
      <c r="T255" s="6">
        <v>4491531</v>
      </c>
      <c r="U255" s="6">
        <v>4147270</v>
      </c>
    </row>
    <row r="256" spans="1:21" ht="15">
      <c r="A256" s="2" t="s">
        <v>510</v>
      </c>
      <c r="B256" s="5">
        <v>4994170</v>
      </c>
      <c r="C256" s="2" t="s">
        <v>511</v>
      </c>
      <c r="D256" s="6">
        <v>1720497</v>
      </c>
      <c r="E256" s="6">
        <v>1440924</v>
      </c>
      <c r="F256" s="6">
        <v>1483529</v>
      </c>
      <c r="G256" s="6">
        <v>1571238</v>
      </c>
      <c r="H256" s="6">
        <v>1928868</v>
      </c>
      <c r="I256" s="6">
        <v>1789802</v>
      </c>
      <c r="J256" s="6">
        <v>1579854</v>
      </c>
      <c r="K256" s="6">
        <v>1592366</v>
      </c>
      <c r="L256" s="6">
        <v>1731150</v>
      </c>
      <c r="M256" s="6">
        <v>1976073</v>
      </c>
      <c r="N256" s="6">
        <v>1602623</v>
      </c>
      <c r="O256" s="6">
        <v>1240494</v>
      </c>
      <c r="P256" s="6">
        <v>11999096</v>
      </c>
      <c r="Q256" s="6">
        <v>12087204</v>
      </c>
      <c r="R256" s="6">
        <v>12829665</v>
      </c>
      <c r="S256" s="6">
        <v>14813999</v>
      </c>
      <c r="T256" s="6">
        <v>12168302</v>
      </c>
      <c r="U256" s="6">
        <v>9636573</v>
      </c>
    </row>
    <row r="257" spans="1:21" ht="15">
      <c r="A257" s="2" t="s">
        <v>512</v>
      </c>
      <c r="B257" s="5">
        <v>4069059</v>
      </c>
      <c r="C257" s="2" t="s">
        <v>513</v>
      </c>
      <c r="D257" s="6">
        <v>3732000</v>
      </c>
      <c r="E257" s="6">
        <v>3349000</v>
      </c>
      <c r="F257" s="6">
        <v>3658000</v>
      </c>
      <c r="G257" s="6">
        <v>3729000</v>
      </c>
      <c r="H257" s="6">
        <v>3534000</v>
      </c>
      <c r="I257" s="6">
        <v>3611000</v>
      </c>
      <c r="J257" s="6">
        <v>2120000</v>
      </c>
      <c r="K257" s="6">
        <v>2143000</v>
      </c>
      <c r="L257" s="6">
        <v>2533000</v>
      </c>
      <c r="M257" s="6">
        <v>2356000</v>
      </c>
      <c r="N257" s="6">
        <v>1966000</v>
      </c>
      <c r="O257" s="6">
        <v>1467000</v>
      </c>
      <c r="P257" s="6">
        <v>29802000</v>
      </c>
      <c r="Q257" s="6">
        <v>28883000</v>
      </c>
      <c r="R257" s="6">
        <v>34702000</v>
      </c>
      <c r="S257" s="6">
        <v>33478000</v>
      </c>
      <c r="T257" s="6">
        <v>29285000</v>
      </c>
      <c r="U257" s="6">
        <v>27266000</v>
      </c>
    </row>
    <row r="258" spans="1:21" ht="15">
      <c r="A258" s="2" t="s">
        <v>514</v>
      </c>
      <c r="B258" s="5">
        <v>3008229</v>
      </c>
      <c r="C258" s="2" t="s">
        <v>515</v>
      </c>
      <c r="D258" s="6">
        <v>51187</v>
      </c>
      <c r="E258" s="6">
        <v>68632</v>
      </c>
      <c r="F258" s="6">
        <v>161021</v>
      </c>
      <c r="G258" s="6">
        <v>166519</v>
      </c>
      <c r="H258" s="6">
        <v>325269</v>
      </c>
      <c r="I258" s="6">
        <v>209604</v>
      </c>
      <c r="J258" s="6">
        <v>624732</v>
      </c>
      <c r="K258" s="6">
        <v>567780</v>
      </c>
      <c r="L258" s="6">
        <v>548204</v>
      </c>
      <c r="M258" s="6">
        <v>547207</v>
      </c>
      <c r="N258" s="6">
        <v>475162</v>
      </c>
      <c r="O258" s="6">
        <v>459972</v>
      </c>
      <c r="P258" s="6">
        <v>2375288</v>
      </c>
      <c r="Q258" s="6">
        <v>2215543</v>
      </c>
      <c r="R258" s="6">
        <v>2077702</v>
      </c>
      <c r="S258" s="6">
        <v>1942884</v>
      </c>
      <c r="T258" s="6">
        <v>1758225</v>
      </c>
      <c r="U258" s="6">
        <v>1697067</v>
      </c>
    </row>
    <row r="259" spans="1:21" ht="15">
      <c r="A259" s="2" t="s">
        <v>516</v>
      </c>
      <c r="B259" s="5">
        <v>4004212</v>
      </c>
      <c r="C259" s="2" t="s">
        <v>517</v>
      </c>
      <c r="D259" s="6">
        <v>2709857</v>
      </c>
      <c r="E259" s="6">
        <v>2607955</v>
      </c>
      <c r="F259" s="6">
        <v>3835161</v>
      </c>
      <c r="G259" s="6">
        <v>4165289</v>
      </c>
      <c r="H259" s="6">
        <v>3467256</v>
      </c>
      <c r="I259" s="6">
        <v>2752168</v>
      </c>
      <c r="J259" s="6">
        <v>1265025</v>
      </c>
      <c r="K259" s="6">
        <v>1107847</v>
      </c>
      <c r="L259" s="6">
        <v>912662</v>
      </c>
      <c r="M259" s="6">
        <v>941911</v>
      </c>
      <c r="N259" s="6">
        <v>1348900</v>
      </c>
      <c r="O259" s="6">
        <v>763717</v>
      </c>
      <c r="P259" s="6">
        <v>12029783</v>
      </c>
      <c r="Q259" s="6">
        <v>11500941</v>
      </c>
      <c r="R259" s="6">
        <v>10851420</v>
      </c>
      <c r="S259" s="6">
        <v>9783074</v>
      </c>
      <c r="T259" s="6">
        <v>14092632</v>
      </c>
      <c r="U259" s="6">
        <v>13566975</v>
      </c>
    </row>
    <row r="260" spans="1:21" ht="15">
      <c r="A260" s="2" t="s">
        <v>518</v>
      </c>
      <c r="B260" s="5">
        <v>4044333</v>
      </c>
      <c r="C260" s="2" t="s">
        <v>519</v>
      </c>
      <c r="D260" s="6">
        <v>49333000</v>
      </c>
      <c r="E260" s="6">
        <v>36366000</v>
      </c>
      <c r="F260" s="6">
        <v>34751000</v>
      </c>
      <c r="G260" s="6">
        <v>40742000</v>
      </c>
      <c r="H260" s="6">
        <v>30432000</v>
      </c>
      <c r="I260" s="6">
        <v>37834000</v>
      </c>
      <c r="J260" s="6">
        <v>33836000</v>
      </c>
      <c r="K260" s="6">
        <v>29940000</v>
      </c>
      <c r="L260" s="6">
        <v>30767000</v>
      </c>
      <c r="M260" s="6">
        <v>28510000</v>
      </c>
      <c r="N260" s="6">
        <v>28206000</v>
      </c>
      <c r="O260" s="6">
        <v>27498000</v>
      </c>
      <c r="P260" s="6">
        <v>94193000</v>
      </c>
      <c r="Q260" s="6">
        <v>88821000</v>
      </c>
      <c r="R260" s="6">
        <v>85159000</v>
      </c>
      <c r="S260" s="6">
        <v>79990000</v>
      </c>
      <c r="T260" s="6">
        <v>78740000</v>
      </c>
      <c r="U260" s="6">
        <v>82584000</v>
      </c>
    </row>
    <row r="261" spans="1:21" ht="15">
      <c r="A261" s="2" t="s">
        <v>520</v>
      </c>
      <c r="B261" s="5">
        <v>5234450</v>
      </c>
      <c r="C261" s="2" t="s">
        <v>521</v>
      </c>
      <c r="D261" s="6">
        <v>11190000</v>
      </c>
      <c r="E261" s="6">
        <v>9026000</v>
      </c>
      <c r="F261" s="6">
        <v>9114000</v>
      </c>
      <c r="G261" s="6">
        <v>10227000</v>
      </c>
      <c r="H261" s="6">
        <v>10138000</v>
      </c>
      <c r="I261" s="6">
        <v>10703000</v>
      </c>
      <c r="J261" s="6">
        <v>3837000</v>
      </c>
      <c r="K261" s="6">
        <v>3726000</v>
      </c>
      <c r="L261" s="6">
        <v>3162000</v>
      </c>
      <c r="M261" s="6">
        <v>2989000</v>
      </c>
      <c r="N261" s="6">
        <v>3620000</v>
      </c>
      <c r="O261" s="6">
        <v>2572000</v>
      </c>
      <c r="P261" s="6">
        <v>23596000</v>
      </c>
      <c r="Q261" s="6">
        <v>22952000</v>
      </c>
      <c r="R261" s="6">
        <v>22331000</v>
      </c>
      <c r="S261" s="6">
        <v>20637000</v>
      </c>
      <c r="T261" s="6">
        <v>23668000</v>
      </c>
      <c r="U261" s="6">
        <v>22317000</v>
      </c>
    </row>
    <row r="262" spans="1:21" ht="15">
      <c r="A262" s="2" t="s">
        <v>522</v>
      </c>
      <c r="B262" s="5">
        <v>100201</v>
      </c>
      <c r="C262" s="2" t="s">
        <v>523</v>
      </c>
      <c r="D262" s="6">
        <v>1025995000</v>
      </c>
      <c r="E262" s="6">
        <v>642211000</v>
      </c>
      <c r="F262" s="6">
        <v>623733000</v>
      </c>
      <c r="G262" s="6">
        <v>621439000</v>
      </c>
      <c r="H262" s="6">
        <v>725772000</v>
      </c>
      <c r="I262" s="6">
        <v>827030000</v>
      </c>
      <c r="J262" s="7" t="s">
        <v>61</v>
      </c>
      <c r="K262" s="7" t="s">
        <v>61</v>
      </c>
      <c r="L262" s="7" t="s">
        <v>61</v>
      </c>
      <c r="M262" s="7" t="s">
        <v>61</v>
      </c>
      <c r="N262" s="7" t="s">
        <v>61</v>
      </c>
      <c r="O262" s="7" t="s">
        <v>61</v>
      </c>
      <c r="P262" s="6">
        <v>168235000</v>
      </c>
      <c r="Q262" s="6">
        <v>166775000</v>
      </c>
      <c r="R262" s="6">
        <v>145670000</v>
      </c>
      <c r="S262" s="6">
        <v>122306000</v>
      </c>
      <c r="T262" s="6">
        <v>130898000</v>
      </c>
      <c r="U262" s="6">
        <v>102471000</v>
      </c>
    </row>
    <row r="263" spans="1:21" ht="15">
      <c r="A263" s="2" t="s">
        <v>524</v>
      </c>
      <c r="B263" s="5">
        <v>109390153</v>
      </c>
      <c r="C263" s="2" t="s">
        <v>525</v>
      </c>
      <c r="D263" s="6">
        <v>8674000</v>
      </c>
      <c r="E263" s="6">
        <v>160000</v>
      </c>
      <c r="F263" s="6">
        <v>129000</v>
      </c>
      <c r="G263" s="6">
        <v>116000</v>
      </c>
      <c r="H263" s="6">
        <v>8427000</v>
      </c>
      <c r="I263" s="6">
        <v>8719000</v>
      </c>
      <c r="J263" s="6">
        <v>3243000</v>
      </c>
      <c r="K263" s="6">
        <v>3124000</v>
      </c>
      <c r="L263" s="6">
        <v>3121000</v>
      </c>
      <c r="M263" s="6">
        <v>3325000</v>
      </c>
      <c r="N263" s="6">
        <v>3874000</v>
      </c>
      <c r="O263" s="6">
        <v>3792000</v>
      </c>
      <c r="P263" s="6">
        <v>15124000</v>
      </c>
      <c r="Q263" s="6">
        <v>15455000</v>
      </c>
      <c r="R263" s="6">
        <v>15444000</v>
      </c>
      <c r="S263" s="6">
        <v>14950000</v>
      </c>
      <c r="T263" s="6">
        <v>15054000</v>
      </c>
      <c r="U263" s="6">
        <v>14467000</v>
      </c>
    </row>
    <row r="264" spans="1:21" ht="15">
      <c r="A264" s="2" t="s">
        <v>526</v>
      </c>
      <c r="B264" s="5">
        <v>4547508</v>
      </c>
      <c r="C264" s="2" t="s">
        <v>527</v>
      </c>
      <c r="D264" s="6">
        <v>19235000</v>
      </c>
      <c r="E264" s="6">
        <v>14491000</v>
      </c>
      <c r="F264" s="6">
        <v>13407000</v>
      </c>
      <c r="G264" s="6">
        <v>13835000</v>
      </c>
      <c r="H264" s="6">
        <v>15090000</v>
      </c>
      <c r="I264" s="6">
        <v>18330000</v>
      </c>
      <c r="J264" s="6">
        <v>4465000</v>
      </c>
      <c r="K264" s="6">
        <v>4129000</v>
      </c>
      <c r="L264" s="6">
        <v>3947000</v>
      </c>
      <c r="M264" s="6">
        <v>3583000</v>
      </c>
      <c r="N264" s="6">
        <v>3737000</v>
      </c>
      <c r="O264" s="6">
        <v>3109000</v>
      </c>
      <c r="P264" s="6">
        <v>16603000</v>
      </c>
      <c r="Q264" s="6">
        <v>15351000</v>
      </c>
      <c r="R264" s="6">
        <v>14814000</v>
      </c>
      <c r="S264" s="6">
        <v>14057000</v>
      </c>
      <c r="T264" s="6">
        <v>12683000</v>
      </c>
      <c r="U264" s="6">
        <v>11618000</v>
      </c>
    </row>
    <row r="265" spans="1:21" ht="15">
      <c r="A265" s="2" t="s">
        <v>528</v>
      </c>
      <c r="B265" s="5">
        <v>100334</v>
      </c>
      <c r="C265" s="2" t="s">
        <v>529</v>
      </c>
      <c r="D265" s="6">
        <v>12138000</v>
      </c>
      <c r="E265" s="6">
        <v>15550000</v>
      </c>
      <c r="F265" s="6">
        <v>13640000</v>
      </c>
      <c r="G265" s="6">
        <v>30859000</v>
      </c>
      <c r="H265" s="6">
        <v>24497000</v>
      </c>
      <c r="I265" s="6">
        <v>15783000</v>
      </c>
      <c r="J265" s="7" t="s">
        <v>61</v>
      </c>
      <c r="K265" s="7" t="s">
        <v>61</v>
      </c>
      <c r="L265" s="7" t="s">
        <v>61</v>
      </c>
      <c r="M265" s="7" t="s">
        <v>61</v>
      </c>
      <c r="N265" s="7" t="s">
        <v>61</v>
      </c>
      <c r="O265" s="7" t="s">
        <v>61</v>
      </c>
      <c r="P265" s="6">
        <v>7007000</v>
      </c>
      <c r="Q265" s="6">
        <v>4239000</v>
      </c>
      <c r="R265" s="6">
        <v>5894000</v>
      </c>
      <c r="S265" s="6">
        <v>6743000</v>
      </c>
      <c r="T265" s="6">
        <v>7683000</v>
      </c>
      <c r="U265" s="6">
        <v>5665000</v>
      </c>
    </row>
    <row r="266" spans="1:21" ht="15">
      <c r="A266" s="2" t="s">
        <v>530</v>
      </c>
      <c r="B266" s="5">
        <v>4972803</v>
      </c>
      <c r="C266" s="2" t="s">
        <v>531</v>
      </c>
      <c r="D266" s="6">
        <v>2778000</v>
      </c>
      <c r="E266" s="6">
        <v>1981000</v>
      </c>
      <c r="F266" s="6">
        <v>2023000</v>
      </c>
      <c r="G266" s="6">
        <v>2018000</v>
      </c>
      <c r="H266" s="6">
        <v>2026000</v>
      </c>
      <c r="I266" s="6">
        <v>2030000</v>
      </c>
      <c r="J266" s="6">
        <v>1214000</v>
      </c>
      <c r="K266" s="6">
        <v>1114000</v>
      </c>
      <c r="L266" s="6">
        <v>1591000</v>
      </c>
      <c r="M266" s="6">
        <v>1610000</v>
      </c>
      <c r="N266" s="6">
        <v>1382000</v>
      </c>
      <c r="O266" s="6">
        <v>1104000</v>
      </c>
      <c r="P266" s="6">
        <v>5375000</v>
      </c>
      <c r="Q266" s="6">
        <v>4979000</v>
      </c>
      <c r="R266" s="6">
        <v>5464000</v>
      </c>
      <c r="S266" s="6">
        <v>5420000</v>
      </c>
      <c r="T266" s="6">
        <v>4941000</v>
      </c>
      <c r="U266" s="6">
        <v>4221000</v>
      </c>
    </row>
    <row r="267" spans="1:21" ht="15">
      <c r="A267" s="2" t="s">
        <v>532</v>
      </c>
      <c r="B267" s="5">
        <v>4060881</v>
      </c>
      <c r="C267" s="2" t="s">
        <v>533</v>
      </c>
      <c r="D267" s="6">
        <v>7576000</v>
      </c>
      <c r="E267" s="6">
        <v>8948000</v>
      </c>
      <c r="F267" s="6">
        <v>9123000</v>
      </c>
      <c r="G267" s="6">
        <v>9184000</v>
      </c>
      <c r="H267" s="6">
        <v>8486000</v>
      </c>
      <c r="I267" s="6">
        <v>7836000</v>
      </c>
      <c r="J267" s="6">
        <v>3199000</v>
      </c>
      <c r="K267" s="6">
        <v>3285000</v>
      </c>
      <c r="L267" s="6">
        <v>3053000</v>
      </c>
      <c r="M267" s="6">
        <v>3391000</v>
      </c>
      <c r="N267" s="6">
        <v>3591000</v>
      </c>
      <c r="O267" s="6">
        <v>4269000</v>
      </c>
      <c r="P267" s="6">
        <v>16447000</v>
      </c>
      <c r="Q267" s="6">
        <v>16805000</v>
      </c>
      <c r="R267" s="6">
        <v>17146000</v>
      </c>
      <c r="S267" s="6">
        <v>20175000</v>
      </c>
      <c r="T267" s="6">
        <v>19440000</v>
      </c>
      <c r="U267" s="6">
        <v>19140000</v>
      </c>
    </row>
    <row r="268" spans="1:21" ht="15">
      <c r="A268" s="2" t="s">
        <v>534</v>
      </c>
      <c r="B268" s="5">
        <v>102965</v>
      </c>
      <c r="C268" s="2" t="s">
        <v>535</v>
      </c>
      <c r="D268" s="6">
        <v>8314581</v>
      </c>
      <c r="E268" s="6">
        <v>5452099</v>
      </c>
      <c r="F268" s="6">
        <v>7599481</v>
      </c>
      <c r="G268" s="6">
        <v>7271565</v>
      </c>
      <c r="H268" s="6">
        <v>7726781</v>
      </c>
      <c r="I268" s="6">
        <v>8578375</v>
      </c>
      <c r="J268" s="6">
        <v>1310023</v>
      </c>
      <c r="K268" s="6">
        <v>1231516</v>
      </c>
      <c r="L268" s="6">
        <v>1079209</v>
      </c>
      <c r="M268" s="6">
        <v>1059550</v>
      </c>
      <c r="N268" s="6">
        <v>824610</v>
      </c>
      <c r="O268" s="6">
        <v>595992</v>
      </c>
      <c r="P268" s="6">
        <v>2140116</v>
      </c>
      <c r="Q268" s="6">
        <v>2037014</v>
      </c>
      <c r="R268" s="6">
        <v>1783400</v>
      </c>
      <c r="S268" s="6">
        <v>1727684</v>
      </c>
      <c r="T268" s="6">
        <v>1364585</v>
      </c>
      <c r="U268" s="6">
        <v>1057893</v>
      </c>
    </row>
    <row r="269" spans="1:21" ht="15">
      <c r="A269" s="2" t="s">
        <v>536</v>
      </c>
      <c r="B269" s="5">
        <v>4275772</v>
      </c>
      <c r="C269" s="2" t="s">
        <v>537</v>
      </c>
      <c r="D269" s="6">
        <v>32355000</v>
      </c>
      <c r="E269" s="6">
        <v>35002000</v>
      </c>
      <c r="F269" s="6">
        <v>33653000</v>
      </c>
      <c r="G269" s="6">
        <v>32480000</v>
      </c>
      <c r="H269" s="6">
        <v>32679000</v>
      </c>
      <c r="I269" s="6">
        <v>32399000</v>
      </c>
      <c r="J269" s="6">
        <v>7115000</v>
      </c>
      <c r="K269" s="6">
        <v>6630000</v>
      </c>
      <c r="L269" s="6">
        <v>6455000</v>
      </c>
      <c r="M269" s="6">
        <v>6201000</v>
      </c>
      <c r="N269" s="6">
        <v>6628000</v>
      </c>
      <c r="O269" s="6">
        <v>5610000</v>
      </c>
      <c r="P269" s="6">
        <v>16937000</v>
      </c>
      <c r="Q269" s="6">
        <v>15100000</v>
      </c>
      <c r="R269" s="6">
        <v>15334000</v>
      </c>
      <c r="S269" s="6">
        <v>19200000</v>
      </c>
      <c r="T269" s="6">
        <v>16610000</v>
      </c>
      <c r="U269" s="6">
        <v>11700000</v>
      </c>
    </row>
    <row r="270" spans="1:21" ht="15">
      <c r="A270" s="2" t="s">
        <v>538</v>
      </c>
      <c r="B270" s="5">
        <v>4165107</v>
      </c>
      <c r="C270" s="2" t="s">
        <v>539</v>
      </c>
      <c r="D270" s="6">
        <v>56008663</v>
      </c>
      <c r="E270" s="6">
        <v>34293838</v>
      </c>
      <c r="F270" s="6">
        <v>39799453</v>
      </c>
      <c r="G270" s="6">
        <v>45426868</v>
      </c>
      <c r="H270" s="6">
        <v>49977766</v>
      </c>
      <c r="I270" s="6">
        <v>51336966</v>
      </c>
      <c r="J270" s="7" t="s">
        <v>61</v>
      </c>
      <c r="K270" s="7" t="s">
        <v>61</v>
      </c>
      <c r="L270" s="7" t="s">
        <v>61</v>
      </c>
      <c r="M270" s="7" t="s">
        <v>61</v>
      </c>
      <c r="N270" s="7" t="s">
        <v>61</v>
      </c>
      <c r="O270" s="7" t="s">
        <v>61</v>
      </c>
      <c r="P270" s="6">
        <v>25651109</v>
      </c>
      <c r="Q270" s="6">
        <v>26421798</v>
      </c>
      <c r="R270" s="6">
        <v>18663644</v>
      </c>
      <c r="S270" s="6">
        <v>5515486</v>
      </c>
      <c r="T270" s="6">
        <v>24820632</v>
      </c>
      <c r="U270" s="6">
        <v>8510305</v>
      </c>
    </row>
    <row r="271" spans="1:21" ht="15">
      <c r="A271" s="2" t="s">
        <v>540</v>
      </c>
      <c r="B271" s="5">
        <v>4069171</v>
      </c>
      <c r="C271" s="2" t="s">
        <v>541</v>
      </c>
      <c r="D271" s="6">
        <v>6088282</v>
      </c>
      <c r="E271" s="6">
        <v>3569549</v>
      </c>
      <c r="F271" s="6">
        <v>3545828</v>
      </c>
      <c r="G271" s="6">
        <v>6774305</v>
      </c>
      <c r="H271" s="6">
        <v>6063132</v>
      </c>
      <c r="I271" s="6">
        <v>6819643</v>
      </c>
      <c r="J271" s="6">
        <v>5408315</v>
      </c>
      <c r="K271" s="6">
        <v>4037414</v>
      </c>
      <c r="L271" s="6">
        <v>4409809</v>
      </c>
      <c r="M271" s="6">
        <v>4014954</v>
      </c>
      <c r="N271" s="6">
        <v>2816076</v>
      </c>
      <c r="O271" s="6">
        <v>2105071</v>
      </c>
      <c r="P271" s="6">
        <v>12156162</v>
      </c>
      <c r="Q271" s="6">
        <v>9812247</v>
      </c>
      <c r="R271" s="6">
        <v>10496056</v>
      </c>
      <c r="S271" s="6">
        <v>9211883</v>
      </c>
      <c r="T271" s="6">
        <v>6918734</v>
      </c>
      <c r="U271" s="6">
        <v>5806424</v>
      </c>
    </row>
    <row r="272" spans="1:21" ht="15">
      <c r="A272" s="2" t="s">
        <v>542</v>
      </c>
      <c r="B272" s="5">
        <v>4104164</v>
      </c>
      <c r="C272" s="2" t="s">
        <v>543</v>
      </c>
      <c r="D272" s="6">
        <v>11901000</v>
      </c>
      <c r="E272" s="6">
        <v>7803000</v>
      </c>
      <c r="F272" s="6">
        <v>7938000</v>
      </c>
      <c r="G272" s="6">
        <v>7907000</v>
      </c>
      <c r="H272" s="6">
        <v>13950000</v>
      </c>
      <c r="I272" s="6">
        <v>13036000</v>
      </c>
      <c r="J272" s="6">
        <v>4043000</v>
      </c>
      <c r="K272" s="6">
        <v>3958000</v>
      </c>
      <c r="L272" s="6">
        <v>3304000</v>
      </c>
      <c r="M272" s="6">
        <v>3292000</v>
      </c>
      <c r="N272" s="6">
        <v>3063000</v>
      </c>
      <c r="O272" s="6">
        <v>3025000</v>
      </c>
      <c r="P272" s="6">
        <v>21865000</v>
      </c>
      <c r="Q272" s="6">
        <v>21325000</v>
      </c>
      <c r="R272" s="6">
        <v>19419000</v>
      </c>
      <c r="S272" s="6">
        <v>17062000</v>
      </c>
      <c r="T272" s="6">
        <v>17814000</v>
      </c>
      <c r="U272" s="6">
        <v>18194000</v>
      </c>
    </row>
    <row r="273" spans="1:21" ht="15">
      <c r="A273" s="2" t="s">
        <v>544</v>
      </c>
      <c r="B273" s="5">
        <v>4069312</v>
      </c>
      <c r="C273" s="2" t="s">
        <v>545</v>
      </c>
      <c r="D273" s="6">
        <v>6526000</v>
      </c>
      <c r="E273" s="6">
        <v>6756400</v>
      </c>
      <c r="F273" s="6">
        <v>6342600</v>
      </c>
      <c r="G273" s="6">
        <v>6246400</v>
      </c>
      <c r="H273" s="6">
        <v>6023800</v>
      </c>
      <c r="I273" s="6">
        <v>7272800</v>
      </c>
      <c r="J273" s="6">
        <v>2191700</v>
      </c>
      <c r="K273" s="6">
        <v>1789000</v>
      </c>
      <c r="L273" s="6">
        <v>1697200</v>
      </c>
      <c r="M273" s="6">
        <v>2221700</v>
      </c>
      <c r="N273" s="6">
        <v>3664300</v>
      </c>
      <c r="O273" s="6">
        <v>3478000</v>
      </c>
      <c r="P273" s="6">
        <v>13951700</v>
      </c>
      <c r="Q273" s="6">
        <v>13008900</v>
      </c>
      <c r="R273" s="6">
        <v>12161600</v>
      </c>
      <c r="S273" s="6">
        <v>11863900</v>
      </c>
      <c r="T273" s="6">
        <v>13136100</v>
      </c>
      <c r="U273" s="6">
        <v>13978500</v>
      </c>
    </row>
    <row r="274" spans="1:21" ht="15">
      <c r="A274" s="2" t="s">
        <v>546</v>
      </c>
      <c r="B274" s="5">
        <v>4069378</v>
      </c>
      <c r="C274" s="2" t="s">
        <v>547</v>
      </c>
      <c r="D274" s="6">
        <v>4756555</v>
      </c>
      <c r="E274" s="6">
        <v>5984094</v>
      </c>
      <c r="F274" s="6">
        <v>5165377</v>
      </c>
      <c r="G274" s="6">
        <v>5224553</v>
      </c>
      <c r="H274" s="6">
        <v>5249109</v>
      </c>
      <c r="I274" s="6">
        <v>5271050</v>
      </c>
      <c r="J274" s="6">
        <v>6287245</v>
      </c>
      <c r="K274" s="6">
        <v>4685174</v>
      </c>
      <c r="L274" s="6">
        <v>5637608</v>
      </c>
      <c r="M274" s="6">
        <v>5715561</v>
      </c>
      <c r="N274" s="6">
        <v>4789174</v>
      </c>
      <c r="O274" s="6">
        <v>2942327</v>
      </c>
      <c r="P274" s="6">
        <v>18435591</v>
      </c>
      <c r="Q274" s="6">
        <v>14905386</v>
      </c>
      <c r="R274" s="6">
        <v>17428516</v>
      </c>
      <c r="S274" s="6">
        <v>17227039</v>
      </c>
      <c r="T274" s="6">
        <v>14626150</v>
      </c>
      <c r="U274" s="6">
        <v>10044736</v>
      </c>
    </row>
    <row r="275" spans="1:21" ht="15">
      <c r="A275" s="2" t="s">
        <v>548</v>
      </c>
      <c r="B275" s="5">
        <v>4107929</v>
      </c>
      <c r="C275" s="2" t="s">
        <v>549</v>
      </c>
      <c r="D275" s="6">
        <v>16034000</v>
      </c>
      <c r="E275" s="6">
        <v>14173000</v>
      </c>
      <c r="F275" s="6">
        <v>14963000</v>
      </c>
      <c r="G275" s="6">
        <v>16148000</v>
      </c>
      <c r="H275" s="6">
        <v>14300000</v>
      </c>
      <c r="I275" s="6">
        <v>13992000</v>
      </c>
      <c r="J275" s="6">
        <v>4533000</v>
      </c>
      <c r="K275" s="6">
        <v>3762000</v>
      </c>
      <c r="L275" s="6">
        <v>3550000</v>
      </c>
      <c r="M275" s="6">
        <v>253000</v>
      </c>
      <c r="N275" s="6">
        <v>379000</v>
      </c>
      <c r="O275" s="6">
        <v>-323000</v>
      </c>
      <c r="P275" s="6">
        <v>13017000</v>
      </c>
      <c r="Q275" s="6">
        <v>11298000</v>
      </c>
      <c r="R275" s="6">
        <v>10372000</v>
      </c>
      <c r="S275" s="6">
        <v>4110000</v>
      </c>
      <c r="T275" s="6">
        <v>4234000</v>
      </c>
      <c r="U275" s="6">
        <v>2940000</v>
      </c>
    </row>
    <row r="276" spans="1:21" ht="15">
      <c r="A276" s="2" t="s">
        <v>550</v>
      </c>
      <c r="B276" s="5">
        <v>4276840</v>
      </c>
      <c r="C276" s="2" t="s">
        <v>551</v>
      </c>
      <c r="D276" s="6">
        <v>5342000</v>
      </c>
      <c r="E276" s="6">
        <v>5538000</v>
      </c>
      <c r="F276" s="6">
        <v>5858000</v>
      </c>
      <c r="G276" s="6">
        <v>5620000</v>
      </c>
      <c r="H276" s="6">
        <v>5334000</v>
      </c>
      <c r="I276" s="6">
        <v>5414000</v>
      </c>
      <c r="J276" s="6">
        <v>2390000</v>
      </c>
      <c r="K276" s="6">
        <v>2105000</v>
      </c>
      <c r="L276" s="6">
        <v>1633000</v>
      </c>
      <c r="M276" s="6">
        <v>1466000</v>
      </c>
      <c r="N276" s="6">
        <v>1488000</v>
      </c>
      <c r="O276" s="6">
        <v>1317000</v>
      </c>
      <c r="P276" s="6">
        <v>17174000</v>
      </c>
      <c r="Q276" s="6">
        <v>16662000</v>
      </c>
      <c r="R276" s="6">
        <v>15438000</v>
      </c>
      <c r="S276" s="6">
        <v>14396000</v>
      </c>
      <c r="T276" s="6">
        <v>13737000</v>
      </c>
      <c r="U276" s="6">
        <v>12297000</v>
      </c>
    </row>
    <row r="277" spans="1:21" ht="15">
      <c r="A277" s="2" t="s">
        <v>552</v>
      </c>
      <c r="B277" s="5">
        <v>4054537</v>
      </c>
      <c r="C277" s="2" t="s">
        <v>553</v>
      </c>
      <c r="D277" s="6">
        <v>6139152</v>
      </c>
      <c r="E277" s="6">
        <v>7421583</v>
      </c>
      <c r="F277" s="6">
        <v>6378364</v>
      </c>
      <c r="G277" s="6">
        <v>6199136</v>
      </c>
      <c r="H277" s="6">
        <v>4984028</v>
      </c>
      <c r="I277" s="6">
        <v>4189239</v>
      </c>
      <c r="J277" s="6">
        <v>2992315</v>
      </c>
      <c r="K277" s="6">
        <v>5210138</v>
      </c>
      <c r="L277" s="6">
        <v>5595761</v>
      </c>
      <c r="M277" s="6">
        <v>6878563</v>
      </c>
      <c r="N277" s="6">
        <v>5425184</v>
      </c>
      <c r="O277" s="6">
        <v>3183198</v>
      </c>
      <c r="P277" s="6">
        <v>34186934</v>
      </c>
      <c r="Q277" s="6">
        <v>35441452</v>
      </c>
      <c r="R277" s="6">
        <v>34233366</v>
      </c>
      <c r="S277" s="6">
        <v>33671010</v>
      </c>
      <c r="T277" s="6">
        <v>27130676</v>
      </c>
      <c r="U277" s="6">
        <v>22488854</v>
      </c>
    </row>
    <row r="278" spans="1:21" ht="15">
      <c r="A278" s="2" t="s">
        <v>554</v>
      </c>
      <c r="B278" s="5">
        <v>4021939</v>
      </c>
      <c r="C278" s="2" t="s">
        <v>555</v>
      </c>
      <c r="D278" s="6">
        <v>1770700</v>
      </c>
      <c r="E278" s="6">
        <v>1178400</v>
      </c>
      <c r="F278" s="6">
        <v>1437600</v>
      </c>
      <c r="G278" s="6">
        <v>1749900</v>
      </c>
      <c r="H278" s="6">
        <v>1527300</v>
      </c>
      <c r="I278" s="6">
        <v>1488600</v>
      </c>
      <c r="J278" s="6">
        <v>1154800</v>
      </c>
      <c r="K278" s="6">
        <v>1134700</v>
      </c>
      <c r="L278" s="6">
        <v>916400</v>
      </c>
      <c r="M278" s="6">
        <v>729000</v>
      </c>
      <c r="N278" s="6">
        <v>652500</v>
      </c>
      <c r="O278" s="6">
        <v>553900</v>
      </c>
      <c r="P278" s="6">
        <v>5195300</v>
      </c>
      <c r="Q278" s="6">
        <v>5341300</v>
      </c>
      <c r="R278" s="6">
        <v>4981900</v>
      </c>
      <c r="S278" s="6">
        <v>4718400</v>
      </c>
      <c r="T278" s="6">
        <v>4194100</v>
      </c>
      <c r="U278" s="6">
        <v>3634100</v>
      </c>
    </row>
    <row r="279" spans="1:21" ht="15">
      <c r="A279" s="2" t="s">
        <v>556</v>
      </c>
      <c r="B279" s="5">
        <v>4062407</v>
      </c>
      <c r="C279" s="2" t="s">
        <v>557</v>
      </c>
      <c r="D279" s="6">
        <v>28069000</v>
      </c>
      <c r="E279" s="6">
        <v>17223000</v>
      </c>
      <c r="F279" s="6">
        <v>15216000</v>
      </c>
      <c r="G279" s="6">
        <v>18791000</v>
      </c>
      <c r="H279" s="6">
        <v>20315000</v>
      </c>
      <c r="I279" s="6">
        <v>22609000</v>
      </c>
      <c r="J279" s="6">
        <v>13343000</v>
      </c>
      <c r="K279" s="6">
        <v>12669000</v>
      </c>
      <c r="L279" s="6">
        <v>12085000</v>
      </c>
      <c r="M279" s="6">
        <v>10859000</v>
      </c>
      <c r="N279" s="6">
        <v>10136000</v>
      </c>
      <c r="O279" s="6">
        <v>8732000</v>
      </c>
      <c r="P279" s="6">
        <v>33986000</v>
      </c>
      <c r="Q279" s="6">
        <v>33005000</v>
      </c>
      <c r="R279" s="6">
        <v>32854000</v>
      </c>
      <c r="S279" s="6">
        <v>33364000</v>
      </c>
      <c r="T279" s="6">
        <v>30793000</v>
      </c>
      <c r="U279" s="6">
        <v>27243000</v>
      </c>
    </row>
    <row r="280" spans="1:21" ht="15">
      <c r="A280" s="2" t="s">
        <v>558</v>
      </c>
      <c r="B280" s="5">
        <v>4121693</v>
      </c>
      <c r="C280" s="2" t="s">
        <v>559</v>
      </c>
      <c r="D280" s="6">
        <v>10404386</v>
      </c>
      <c r="E280" s="6">
        <v>6461332</v>
      </c>
      <c r="F280" s="6">
        <v>7460517</v>
      </c>
      <c r="G280" s="6">
        <v>7698256</v>
      </c>
      <c r="H280" s="6">
        <v>8437924</v>
      </c>
      <c r="I280" s="6">
        <v>8271741</v>
      </c>
      <c r="J280" s="6">
        <v>1963016</v>
      </c>
      <c r="K280" s="6">
        <v>1341697</v>
      </c>
      <c r="L280" s="6">
        <v>1627954</v>
      </c>
      <c r="M280" s="6">
        <v>1196629</v>
      </c>
      <c r="N280" s="6">
        <v>-524</v>
      </c>
      <c r="O280" s="6">
        <v>-1191012</v>
      </c>
      <c r="P280" s="6">
        <v>25201406</v>
      </c>
      <c r="Q280" s="6">
        <v>23155625</v>
      </c>
      <c r="R280" s="6">
        <v>22726317</v>
      </c>
      <c r="S280" s="6">
        <v>16681254</v>
      </c>
      <c r="T280" s="6">
        <v>6268447</v>
      </c>
      <c r="U280" s="6">
        <v>1861178</v>
      </c>
    </row>
    <row r="281" spans="1:21" ht="15">
      <c r="A281" s="2" t="s">
        <v>560</v>
      </c>
      <c r="B281" s="5">
        <v>4004271</v>
      </c>
      <c r="C281" s="2" t="s">
        <v>561</v>
      </c>
      <c r="D281" s="6">
        <v>22771000</v>
      </c>
      <c r="E281" s="6">
        <v>12169000</v>
      </c>
      <c r="F281" s="6">
        <v>11670000</v>
      </c>
      <c r="G281" s="6">
        <v>15547000</v>
      </c>
      <c r="H281" s="6">
        <v>17459000</v>
      </c>
      <c r="I281" s="6">
        <v>20270000</v>
      </c>
      <c r="J281" s="6">
        <v>8285000</v>
      </c>
      <c r="K281" s="6">
        <v>8394000</v>
      </c>
      <c r="L281" s="6">
        <v>10225000</v>
      </c>
      <c r="M281" s="6">
        <v>8620000</v>
      </c>
      <c r="N281" s="6">
        <v>9010000</v>
      </c>
      <c r="O281" s="6">
        <v>10001000</v>
      </c>
      <c r="P281" s="6">
        <v>75048000</v>
      </c>
      <c r="Q281" s="6">
        <v>71043000</v>
      </c>
      <c r="R281" s="6">
        <v>67571000</v>
      </c>
      <c r="S281" s="6">
        <v>65984000</v>
      </c>
      <c r="T281" s="6">
        <v>67044000</v>
      </c>
      <c r="U281" s="6">
        <v>65398000</v>
      </c>
    </row>
    <row r="282" spans="1:21" ht="15">
      <c r="A282" s="2" t="s">
        <v>562</v>
      </c>
      <c r="B282" s="5">
        <v>103455</v>
      </c>
      <c r="C282" s="2" t="s">
        <v>563</v>
      </c>
      <c r="D282" s="6">
        <v>9864000</v>
      </c>
      <c r="E282" s="6">
        <v>10610000</v>
      </c>
      <c r="F282" s="6">
        <v>9442000</v>
      </c>
      <c r="G282" s="6">
        <v>9416000</v>
      </c>
      <c r="H282" s="6">
        <v>9387000</v>
      </c>
      <c r="I282" s="6">
        <v>9350000</v>
      </c>
      <c r="J282" s="6">
        <v>3256000</v>
      </c>
      <c r="K282" s="6">
        <v>2840000</v>
      </c>
      <c r="L282" s="6">
        <v>2790000</v>
      </c>
      <c r="M282" s="6">
        <v>1890000</v>
      </c>
      <c r="N282" s="6">
        <v>3073000</v>
      </c>
      <c r="O282" s="6">
        <v>662000</v>
      </c>
      <c r="P282" s="6">
        <v>18454000</v>
      </c>
      <c r="Q282" s="6">
        <v>17510000</v>
      </c>
      <c r="R282" s="6">
        <v>15901000</v>
      </c>
      <c r="S282" s="6">
        <v>14044000</v>
      </c>
      <c r="T282" s="6">
        <v>14657000</v>
      </c>
      <c r="U282" s="6">
        <v>12583000</v>
      </c>
    </row>
    <row r="283" spans="1:21" ht="15">
      <c r="A283" s="2" t="s">
        <v>564</v>
      </c>
      <c r="B283" s="5">
        <v>4004318</v>
      </c>
      <c r="C283" s="2" t="s">
        <v>565</v>
      </c>
      <c r="D283" s="6">
        <v>44677000</v>
      </c>
      <c r="E283" s="6">
        <v>26211000</v>
      </c>
      <c r="F283" s="6">
        <v>29405000</v>
      </c>
      <c r="G283" s="6">
        <v>38082000</v>
      </c>
      <c r="H283" s="6">
        <v>40221000</v>
      </c>
      <c r="I283" s="6">
        <v>39713000</v>
      </c>
      <c r="J283" s="6">
        <v>12400000</v>
      </c>
      <c r="K283" s="6">
        <v>12443000</v>
      </c>
      <c r="L283" s="6">
        <v>13563000</v>
      </c>
      <c r="M283" s="6">
        <v>12197000</v>
      </c>
      <c r="N283" s="6">
        <v>14009000</v>
      </c>
      <c r="O283" s="6">
        <v>11241000</v>
      </c>
      <c r="P283" s="6">
        <v>86286000</v>
      </c>
      <c r="Q283" s="6">
        <v>83674000</v>
      </c>
      <c r="R283" s="6">
        <v>86377000</v>
      </c>
      <c r="S283" s="6">
        <v>97059000</v>
      </c>
      <c r="T283" s="6">
        <v>96250000</v>
      </c>
      <c r="U283" s="6">
        <v>89597000</v>
      </c>
    </row>
    <row r="284" spans="1:21" ht="15">
      <c r="A284" s="2" t="s">
        <v>566</v>
      </c>
      <c r="B284" s="5">
        <v>4218591</v>
      </c>
      <c r="C284" s="2" t="s">
        <v>567</v>
      </c>
      <c r="D284" s="6">
        <v>1798441</v>
      </c>
      <c r="E284" s="6">
        <v>798681</v>
      </c>
      <c r="F284" s="6">
        <v>881052</v>
      </c>
      <c r="G284" s="6">
        <v>1070334</v>
      </c>
      <c r="H284" s="6">
        <v>1403282</v>
      </c>
      <c r="I284" s="6">
        <v>1575791</v>
      </c>
      <c r="J284" s="6">
        <v>2706843</v>
      </c>
      <c r="K284" s="6">
        <v>2952221</v>
      </c>
      <c r="L284" s="6">
        <v>2590061</v>
      </c>
      <c r="M284" s="6">
        <v>2017932</v>
      </c>
      <c r="N284" s="6">
        <v>1598955</v>
      </c>
      <c r="O284" s="6">
        <v>998206</v>
      </c>
      <c r="P284" s="6">
        <v>11102600</v>
      </c>
      <c r="Q284" s="6">
        <v>10588126</v>
      </c>
      <c r="R284" s="6">
        <v>9619278</v>
      </c>
      <c r="S284" s="6">
        <v>8110518</v>
      </c>
      <c r="T284" s="6">
        <v>6256617</v>
      </c>
      <c r="U284" s="6">
        <v>4401879</v>
      </c>
    </row>
    <row r="285" spans="1:21" ht="15">
      <c r="A285" s="2" t="s">
        <v>568</v>
      </c>
      <c r="B285" s="5">
        <v>4973038</v>
      </c>
      <c r="C285" s="2" t="s">
        <v>569</v>
      </c>
      <c r="D285" s="6">
        <v>2608200</v>
      </c>
      <c r="E285" s="6">
        <v>1189300</v>
      </c>
      <c r="F285" s="6">
        <v>1239900</v>
      </c>
      <c r="G285" s="6">
        <v>1936000</v>
      </c>
      <c r="H285" s="6">
        <v>2873700</v>
      </c>
      <c r="I285" s="6">
        <v>2559600</v>
      </c>
      <c r="J285" s="6">
        <v>64500</v>
      </c>
      <c r="K285" s="6">
        <v>-82300</v>
      </c>
      <c r="L285" s="6">
        <v>194300</v>
      </c>
      <c r="M285" s="6">
        <v>477700</v>
      </c>
      <c r="N285" s="6">
        <v>509700</v>
      </c>
      <c r="O285" s="6">
        <v>432200</v>
      </c>
      <c r="P285" s="6">
        <v>1645000</v>
      </c>
      <c r="Q285" s="6">
        <v>1359200</v>
      </c>
      <c r="R285" s="6">
        <v>1767000</v>
      </c>
      <c r="S285" s="6">
        <v>1712600</v>
      </c>
      <c r="T285" s="6">
        <v>1742800</v>
      </c>
      <c r="U285" s="6">
        <v>1678600</v>
      </c>
    </row>
    <row r="286" spans="1:21" ht="15">
      <c r="A286" s="2" t="s">
        <v>570</v>
      </c>
      <c r="B286" s="5">
        <v>4986300</v>
      </c>
      <c r="C286" s="2" t="s">
        <v>571</v>
      </c>
      <c r="D286" s="6">
        <v>14714000</v>
      </c>
      <c r="E286" s="6">
        <v>17832000</v>
      </c>
      <c r="F286" s="6">
        <v>13882000</v>
      </c>
      <c r="G286" s="6">
        <v>13427000</v>
      </c>
      <c r="H286" s="6">
        <v>13173000</v>
      </c>
      <c r="I286" s="6">
        <v>13069000</v>
      </c>
      <c r="J286" s="6">
        <v>2179000</v>
      </c>
      <c r="K286" s="6">
        <v>4230000</v>
      </c>
      <c r="L286" s="6">
        <v>4592000</v>
      </c>
      <c r="M286" s="6">
        <v>6220000</v>
      </c>
      <c r="N286" s="6">
        <v>8616000</v>
      </c>
      <c r="O286" s="6">
        <v>3449000</v>
      </c>
      <c r="P286" s="6">
        <v>30153000</v>
      </c>
      <c r="Q286" s="6">
        <v>33394000</v>
      </c>
      <c r="R286" s="6">
        <v>33336000</v>
      </c>
      <c r="S286" s="6">
        <v>50451000</v>
      </c>
      <c r="T286" s="6">
        <v>46173000</v>
      </c>
      <c r="U286" s="6">
        <v>27753000</v>
      </c>
    </row>
    <row r="287" spans="1:21" ht="15">
      <c r="A287" s="2" t="s">
        <v>572</v>
      </c>
      <c r="B287" s="5">
        <v>100253</v>
      </c>
      <c r="C287" s="2" t="s">
        <v>573</v>
      </c>
      <c r="D287" s="6">
        <v>14166000</v>
      </c>
      <c r="E287" s="6">
        <v>5049160</v>
      </c>
      <c r="F287" s="6">
        <v>4057258</v>
      </c>
      <c r="G287" s="6">
        <v>9584000</v>
      </c>
      <c r="H287" s="6">
        <v>15177000</v>
      </c>
      <c r="I287" s="6">
        <v>15164000</v>
      </c>
      <c r="J287" s="7" t="s">
        <v>61</v>
      </c>
      <c r="K287" s="7" t="s">
        <v>61</v>
      </c>
      <c r="L287" s="7" t="s">
        <v>61</v>
      </c>
      <c r="M287" s="7" t="s">
        <v>61</v>
      </c>
      <c r="N287" s="7" t="s">
        <v>61</v>
      </c>
      <c r="O287" s="7" t="s">
        <v>61</v>
      </c>
      <c r="P287" s="6">
        <v>9185000</v>
      </c>
      <c r="Q287" s="6">
        <v>8669000</v>
      </c>
      <c r="R287" s="6">
        <v>8998000</v>
      </c>
      <c r="S287" s="6">
        <v>7662000</v>
      </c>
      <c r="T287" s="6">
        <v>6067000</v>
      </c>
      <c r="U287" s="6">
        <v>5154761</v>
      </c>
    </row>
    <row r="288" spans="1:21" ht="15">
      <c r="A288" s="2" t="s">
        <v>574</v>
      </c>
      <c r="B288" s="5">
        <v>4136924</v>
      </c>
      <c r="C288" s="2" t="s">
        <v>575</v>
      </c>
      <c r="D288" s="6">
        <v>34358000</v>
      </c>
      <c r="E288" s="6">
        <v>33095000</v>
      </c>
      <c r="F288" s="6">
        <v>26904000</v>
      </c>
      <c r="G288" s="6">
        <v>27909000</v>
      </c>
      <c r="H288" s="6">
        <v>28501000</v>
      </c>
      <c r="I288" s="6">
        <v>28758000</v>
      </c>
      <c r="J288" s="6">
        <v>9471000</v>
      </c>
      <c r="K288" s="6">
        <v>9095000</v>
      </c>
      <c r="L288" s="6">
        <v>16951000</v>
      </c>
      <c r="M288" s="6">
        <v>22965000</v>
      </c>
      <c r="N288" s="6">
        <v>7121000</v>
      </c>
      <c r="O288" s="6">
        <v>775000</v>
      </c>
      <c r="P288" s="6">
        <v>133174000</v>
      </c>
      <c r="Q288" s="6">
        <v>139336000</v>
      </c>
      <c r="R288" s="6">
        <v>149348000</v>
      </c>
      <c r="S288" s="6">
        <v>178236000</v>
      </c>
      <c r="T288" s="6">
        <v>120451000</v>
      </c>
      <c r="U288" s="6">
        <v>69896000</v>
      </c>
    </row>
    <row r="289" spans="1:21" ht="15">
      <c r="A289" s="2" t="s">
        <v>576</v>
      </c>
      <c r="B289" s="5">
        <v>4046286</v>
      </c>
      <c r="C289" s="2" t="s">
        <v>577</v>
      </c>
      <c r="D289" s="6">
        <v>17182000</v>
      </c>
      <c r="E289" s="6">
        <v>11346000</v>
      </c>
      <c r="F289" s="6">
        <v>11386000</v>
      </c>
      <c r="G289" s="6">
        <v>11204000</v>
      </c>
      <c r="H289" s="6">
        <v>12865000</v>
      </c>
      <c r="I289" s="6">
        <v>15345000</v>
      </c>
      <c r="J289" s="6">
        <v>4597000</v>
      </c>
      <c r="K289" s="6">
        <v>4227000</v>
      </c>
      <c r="L289" s="6">
        <v>4272000</v>
      </c>
      <c r="M289" s="6">
        <v>3785000</v>
      </c>
      <c r="N289" s="6">
        <v>2061000</v>
      </c>
      <c r="O289" s="6">
        <v>829000</v>
      </c>
      <c r="P289" s="6">
        <v>6982000</v>
      </c>
      <c r="Q289" s="6">
        <v>6618000</v>
      </c>
      <c r="R289" s="6">
        <v>6300000</v>
      </c>
      <c r="S289" s="6">
        <v>5356000</v>
      </c>
      <c r="T289" s="6">
        <v>3415000</v>
      </c>
      <c r="U289" s="6">
        <v>2119000</v>
      </c>
    </row>
    <row r="290" spans="1:21" ht="15">
      <c r="A290" s="2" t="s">
        <v>578</v>
      </c>
      <c r="B290" s="5">
        <v>103442</v>
      </c>
      <c r="C290" s="2" t="s">
        <v>579</v>
      </c>
      <c r="D290" s="6">
        <v>21449000</v>
      </c>
      <c r="E290" s="6">
        <v>13579000</v>
      </c>
      <c r="F290" s="6">
        <v>13162000</v>
      </c>
      <c r="G290" s="6">
        <v>13472000</v>
      </c>
      <c r="H290" s="6">
        <v>15436000</v>
      </c>
      <c r="I290" s="6">
        <v>21862000</v>
      </c>
      <c r="J290" s="6">
        <v>7831000</v>
      </c>
      <c r="K290" s="6">
        <v>7226000</v>
      </c>
      <c r="L290" s="6">
        <v>6535000</v>
      </c>
      <c r="M290" s="6">
        <v>5661000</v>
      </c>
      <c r="N290" s="6">
        <v>5499000</v>
      </c>
      <c r="O290" s="6">
        <v>4064000</v>
      </c>
      <c r="P290" s="6">
        <v>26981000</v>
      </c>
      <c r="Q290" s="6">
        <v>24458000</v>
      </c>
      <c r="R290" s="6">
        <v>22736000</v>
      </c>
      <c r="S290" s="6">
        <v>20720000</v>
      </c>
      <c r="T290" s="6">
        <v>19820000</v>
      </c>
      <c r="U290" s="6">
        <v>17224000</v>
      </c>
    </row>
    <row r="291" spans="1:21" ht="15">
      <c r="A291" s="2" t="s">
        <v>580</v>
      </c>
      <c r="B291" s="5">
        <v>4095241</v>
      </c>
      <c r="C291" s="2" t="s">
        <v>581</v>
      </c>
      <c r="D291" s="6">
        <v>6007000</v>
      </c>
      <c r="E291" s="6">
        <v>3109300</v>
      </c>
      <c r="F291" s="6">
        <v>5738500</v>
      </c>
      <c r="G291" s="6">
        <v>5627900</v>
      </c>
      <c r="H291" s="6">
        <v>4926000</v>
      </c>
      <c r="I291" s="6">
        <v>5998000</v>
      </c>
      <c r="J291" s="6">
        <v>2109000</v>
      </c>
      <c r="K291" s="6">
        <v>1829000</v>
      </c>
      <c r="L291" s="6">
        <v>1851000</v>
      </c>
      <c r="M291" s="6">
        <v>1593000</v>
      </c>
      <c r="N291" s="6">
        <v>1483600</v>
      </c>
      <c r="O291" s="6">
        <v>1334100</v>
      </c>
      <c r="P291" s="6">
        <v>6150000</v>
      </c>
      <c r="Q291" s="6">
        <v>5662000</v>
      </c>
      <c r="R291" s="6">
        <v>5851000</v>
      </c>
      <c r="S291" s="6">
        <v>6161000</v>
      </c>
      <c r="T291" s="6">
        <v>5414000</v>
      </c>
      <c r="U291" s="6">
        <v>4432100</v>
      </c>
    </row>
    <row r="292" spans="1:21" ht="15">
      <c r="A292" s="2" t="s">
        <v>582</v>
      </c>
      <c r="B292" s="5">
        <v>6331137</v>
      </c>
      <c r="C292" s="2" t="s">
        <v>583</v>
      </c>
      <c r="D292" s="6">
        <v>3215000</v>
      </c>
      <c r="E292" s="6">
        <v>2983000</v>
      </c>
      <c r="F292" s="6">
        <v>3169000</v>
      </c>
      <c r="G292" s="6">
        <v>3445000</v>
      </c>
      <c r="H292" s="6">
        <v>3250000</v>
      </c>
      <c r="I292" s="6">
        <v>3214000</v>
      </c>
      <c r="J292" s="6">
        <v>1414000</v>
      </c>
      <c r="K292" s="6">
        <v>1516000</v>
      </c>
      <c r="L292" s="6">
        <v>1505000</v>
      </c>
      <c r="M292" s="6">
        <v>1459000</v>
      </c>
      <c r="N292" s="6">
        <v>1185000</v>
      </c>
      <c r="O292" s="6">
        <v>1393000</v>
      </c>
      <c r="P292" s="6">
        <v>7562000</v>
      </c>
      <c r="Q292" s="6">
        <v>7828000</v>
      </c>
      <c r="R292" s="6">
        <v>7967000</v>
      </c>
      <c r="S292" s="6">
        <v>8680000</v>
      </c>
      <c r="T292" s="6">
        <v>8375000</v>
      </c>
      <c r="U292" s="6">
        <v>7188000</v>
      </c>
    </row>
    <row r="293" spans="1:21" ht="15">
      <c r="A293" s="2" t="s">
        <v>584</v>
      </c>
      <c r="B293" s="5">
        <v>4073702</v>
      </c>
      <c r="C293" s="2" t="s">
        <v>585</v>
      </c>
      <c r="D293" s="6">
        <v>19833000</v>
      </c>
      <c r="E293" s="6">
        <v>13523000</v>
      </c>
      <c r="F293" s="6">
        <v>14673000</v>
      </c>
      <c r="G293" s="6">
        <v>14793000</v>
      </c>
      <c r="H293" s="6">
        <v>16456000</v>
      </c>
      <c r="I293" s="6">
        <v>18986000</v>
      </c>
      <c r="J293" s="6">
        <v>20544000</v>
      </c>
      <c r="K293" s="6">
        <v>17349000</v>
      </c>
      <c r="L293" s="6">
        <v>15346000</v>
      </c>
      <c r="M293" s="6">
        <v>13437000</v>
      </c>
      <c r="N293" s="6">
        <v>10994000</v>
      </c>
      <c r="O293" s="6">
        <v>8742000</v>
      </c>
      <c r="P293" s="6">
        <v>32791000</v>
      </c>
      <c r="Q293" s="6">
        <v>28167000</v>
      </c>
      <c r="R293" s="6">
        <v>25098000</v>
      </c>
      <c r="S293" s="6">
        <v>22237000</v>
      </c>
      <c r="T293" s="6">
        <v>18884000</v>
      </c>
      <c r="U293" s="6">
        <v>15301000</v>
      </c>
    </row>
    <row r="294" spans="1:21" ht="15">
      <c r="A294" s="2" t="s">
        <v>586</v>
      </c>
      <c r="B294" s="5">
        <v>4219024</v>
      </c>
      <c r="C294" s="2" t="s">
        <v>587</v>
      </c>
      <c r="D294" s="6">
        <v>4222900</v>
      </c>
      <c r="E294" s="6">
        <v>5045200</v>
      </c>
      <c r="F294" s="6">
        <v>5423100</v>
      </c>
      <c r="G294" s="6">
        <v>5422500</v>
      </c>
      <c r="H294" s="6">
        <v>4644600</v>
      </c>
      <c r="I294" s="6">
        <v>4564200</v>
      </c>
      <c r="J294" s="6">
        <v>1305800</v>
      </c>
      <c r="K294" s="6">
        <v>1265100</v>
      </c>
      <c r="L294" s="6">
        <v>1213500</v>
      </c>
      <c r="M294" s="6">
        <v>1102500</v>
      </c>
      <c r="N294" s="6">
        <v>1281600</v>
      </c>
      <c r="O294" s="6">
        <v>1181400</v>
      </c>
      <c r="P294" s="6">
        <v>6840300</v>
      </c>
      <c r="Q294" s="6">
        <v>6723700</v>
      </c>
      <c r="R294" s="6">
        <v>6662200</v>
      </c>
      <c r="S294" s="6">
        <v>6350500</v>
      </c>
      <c r="T294" s="6">
        <v>6317900</v>
      </c>
      <c r="U294" s="6">
        <v>5601300</v>
      </c>
    </row>
    <row r="295" spans="1:21" ht="15">
      <c r="A295" s="2" t="s">
        <v>588</v>
      </c>
      <c r="B295" s="5">
        <v>4095638</v>
      </c>
      <c r="C295" s="2" t="s">
        <v>589</v>
      </c>
      <c r="D295" s="6">
        <v>54830000</v>
      </c>
      <c r="E295" s="6">
        <v>51463200</v>
      </c>
      <c r="F295" s="6">
        <v>49353200</v>
      </c>
      <c r="G295" s="6">
        <v>48790500</v>
      </c>
      <c r="H295" s="6">
        <v>53153000</v>
      </c>
      <c r="I295" s="6">
        <v>51988000</v>
      </c>
      <c r="J295" s="6">
        <v>14594000</v>
      </c>
      <c r="K295" s="6">
        <v>13949000</v>
      </c>
      <c r="L295" s="6">
        <v>13724000</v>
      </c>
      <c r="M295" s="6">
        <v>12236000</v>
      </c>
      <c r="N295" s="6">
        <v>12026200</v>
      </c>
      <c r="O295" s="6">
        <v>9225400</v>
      </c>
      <c r="P295" s="6">
        <v>26885000</v>
      </c>
      <c r="Q295" s="6">
        <v>25920000</v>
      </c>
      <c r="R295" s="6">
        <v>25494000</v>
      </c>
      <c r="S295" s="6">
        <v>23183000</v>
      </c>
      <c r="T295" s="6">
        <v>23222900</v>
      </c>
      <c r="U295" s="6">
        <v>19207800</v>
      </c>
    </row>
    <row r="296" spans="1:21" ht="15">
      <c r="A296" s="2" t="s">
        <v>590</v>
      </c>
      <c r="B296" s="5">
        <v>4069640</v>
      </c>
      <c r="C296" s="2" t="s">
        <v>591</v>
      </c>
      <c r="D296" s="6">
        <v>7432000</v>
      </c>
      <c r="E296" s="6">
        <v>9420000</v>
      </c>
      <c r="F296" s="6">
        <v>9551000</v>
      </c>
      <c r="G296" s="6">
        <v>7617000</v>
      </c>
      <c r="H296" s="6">
        <v>7313000</v>
      </c>
      <c r="I296" s="6">
        <v>7426000</v>
      </c>
      <c r="J296" s="6">
        <v>5416000</v>
      </c>
      <c r="K296" s="6">
        <v>5107000</v>
      </c>
      <c r="L296" s="6">
        <v>4822000</v>
      </c>
      <c r="M296" s="6">
        <v>4791000</v>
      </c>
      <c r="N296" s="6">
        <v>3946000</v>
      </c>
      <c r="O296" s="6">
        <v>3887000</v>
      </c>
      <c r="P296" s="6">
        <v>359051000</v>
      </c>
      <c r="Q296" s="6">
        <v>308951000</v>
      </c>
      <c r="R296" s="6">
        <v>276711000</v>
      </c>
      <c r="S296" s="6">
        <v>263966000</v>
      </c>
      <c r="T296" s="6">
        <v>238228000</v>
      </c>
      <c r="U296" s="6">
        <v>231051000</v>
      </c>
    </row>
    <row r="297" spans="1:21" ht="15">
      <c r="A297" s="2" t="s">
        <v>592</v>
      </c>
      <c r="B297" s="5">
        <v>4806212</v>
      </c>
      <c r="C297" s="2" t="s">
        <v>593</v>
      </c>
      <c r="D297" s="6">
        <v>29626000</v>
      </c>
      <c r="E297" s="6">
        <v>25742000</v>
      </c>
      <c r="F297" s="6">
        <v>27404000</v>
      </c>
      <c r="G297" s="6">
        <v>24984000</v>
      </c>
      <c r="H297" s="6">
        <v>25413000</v>
      </c>
      <c r="I297" s="6">
        <v>26047000</v>
      </c>
      <c r="J297" s="6">
        <v>9113000</v>
      </c>
      <c r="K297" s="6">
        <v>9038000</v>
      </c>
      <c r="L297" s="6">
        <v>8266000</v>
      </c>
      <c r="M297" s="6">
        <v>9554000</v>
      </c>
      <c r="N297" s="6">
        <v>8192000</v>
      </c>
      <c r="O297" s="6">
        <v>7825000</v>
      </c>
      <c r="P297" s="6">
        <v>33537000</v>
      </c>
      <c r="Q297" s="6">
        <v>32364000</v>
      </c>
      <c r="R297" s="6">
        <v>31227000</v>
      </c>
      <c r="S297" s="6">
        <v>31686000</v>
      </c>
      <c r="T297" s="6">
        <v>30117000</v>
      </c>
      <c r="U297" s="6">
        <v>28913000</v>
      </c>
    </row>
    <row r="298" spans="1:21" ht="15">
      <c r="A298" s="2" t="s">
        <v>594</v>
      </c>
      <c r="B298" s="5">
        <v>4004265</v>
      </c>
      <c r="C298" s="2" t="s">
        <v>595</v>
      </c>
      <c r="D298" s="6">
        <v>50534000</v>
      </c>
      <c r="E298" s="6">
        <v>33417000</v>
      </c>
      <c r="F298" s="6">
        <v>34631000</v>
      </c>
      <c r="G298" s="6">
        <v>31985000</v>
      </c>
      <c r="H298" s="6">
        <v>36268000</v>
      </c>
      <c r="I298" s="6">
        <v>38270000</v>
      </c>
      <c r="J298" s="6">
        <v>29105000</v>
      </c>
      <c r="K298" s="6">
        <v>29134000</v>
      </c>
      <c r="L298" s="6">
        <v>19706000</v>
      </c>
      <c r="M298" s="6">
        <v>24279000</v>
      </c>
      <c r="N298" s="6">
        <v>17016000</v>
      </c>
      <c r="O298" s="6">
        <v>13613000</v>
      </c>
      <c r="P298" s="6">
        <v>65011000</v>
      </c>
      <c r="Q298" s="6">
        <v>64168000</v>
      </c>
      <c r="R298" s="6">
        <v>60115000</v>
      </c>
      <c r="S298" s="6">
        <v>59283000</v>
      </c>
      <c r="T298" s="6">
        <v>48704000</v>
      </c>
      <c r="U298" s="6">
        <v>41518000</v>
      </c>
    </row>
    <row r="299" spans="1:21" ht="15">
      <c r="A299" s="2" t="s">
        <v>596</v>
      </c>
      <c r="B299" s="5">
        <v>4144156</v>
      </c>
      <c r="C299" s="2" t="s">
        <v>597</v>
      </c>
      <c r="D299" s="6">
        <v>85081000</v>
      </c>
      <c r="E299" s="6">
        <v>10654000</v>
      </c>
      <c r="F299" s="6">
        <v>13873000</v>
      </c>
      <c r="G299" s="6">
        <v>26591000</v>
      </c>
      <c r="H299" s="6">
        <v>37234000</v>
      </c>
      <c r="I299" s="6">
        <v>49060000</v>
      </c>
      <c r="J299" s="6">
        <v>101892000</v>
      </c>
      <c r="K299" s="6">
        <v>84820000</v>
      </c>
      <c r="L299" s="6">
        <v>57929000</v>
      </c>
      <c r="M299" s="6">
        <v>42241000</v>
      </c>
      <c r="N299" s="6">
        <v>54720000</v>
      </c>
      <c r="O299" s="6">
        <v>39533000</v>
      </c>
      <c r="P299" s="6">
        <v>200966000</v>
      </c>
      <c r="Q299" s="6">
        <v>164501000</v>
      </c>
      <c r="R299" s="6">
        <v>134902000</v>
      </c>
      <c r="S299" s="6">
        <v>116609000</v>
      </c>
      <c r="T299" s="6">
        <v>117929000</v>
      </c>
      <c r="U299" s="6">
        <v>85965000</v>
      </c>
    </row>
    <row r="300" spans="1:21" ht="15">
      <c r="A300" s="2" t="s">
        <v>598</v>
      </c>
      <c r="B300" s="5">
        <v>4051708</v>
      </c>
      <c r="C300" s="2" t="s">
        <v>599</v>
      </c>
      <c r="D300" s="6">
        <v>65354000</v>
      </c>
      <c r="E300" s="6">
        <v>108777000</v>
      </c>
      <c r="F300" s="6">
        <v>109092000</v>
      </c>
      <c r="G300" s="6">
        <v>61338000</v>
      </c>
      <c r="H300" s="6">
        <v>66404000</v>
      </c>
      <c r="I300" s="6">
        <v>64662000</v>
      </c>
      <c r="J300" s="6">
        <v>5962000</v>
      </c>
      <c r="K300" s="6">
        <v>6259000</v>
      </c>
      <c r="L300" s="6">
        <v>2925000</v>
      </c>
      <c r="M300" s="6">
        <v>4294000</v>
      </c>
      <c r="N300" s="6">
        <v>8885000</v>
      </c>
      <c r="O300" s="6">
        <v>8250000</v>
      </c>
      <c r="P300" s="6">
        <v>77079000</v>
      </c>
      <c r="Q300" s="6">
        <v>70982000</v>
      </c>
      <c r="R300" s="6">
        <v>66901000</v>
      </c>
      <c r="S300" s="6">
        <v>68764000</v>
      </c>
      <c r="T300" s="6">
        <v>68688000</v>
      </c>
      <c r="U300" s="6">
        <v>67842000</v>
      </c>
    </row>
    <row r="301" spans="1:21" ht="15">
      <c r="A301" s="2" t="s">
        <v>600</v>
      </c>
      <c r="B301" s="5">
        <v>4811730</v>
      </c>
      <c r="C301" s="2" t="s">
        <v>601</v>
      </c>
      <c r="D301" s="6">
        <v>2265323</v>
      </c>
      <c r="E301" s="6">
        <v>1436039</v>
      </c>
      <c r="F301" s="6">
        <v>1801246</v>
      </c>
      <c r="G301" s="6">
        <v>2130693</v>
      </c>
      <c r="H301" s="6">
        <v>2196285</v>
      </c>
      <c r="I301" s="6">
        <v>2124918</v>
      </c>
      <c r="J301" s="6">
        <v>1211900</v>
      </c>
      <c r="K301" s="6">
        <v>1212375</v>
      </c>
      <c r="L301" s="6">
        <v>1164047</v>
      </c>
      <c r="M301" s="6">
        <v>1216543</v>
      </c>
      <c r="N301" s="6">
        <v>1073793</v>
      </c>
      <c r="O301" s="6">
        <v>854252</v>
      </c>
      <c r="P301" s="6">
        <v>4026399</v>
      </c>
      <c r="Q301" s="6">
        <v>3872361</v>
      </c>
      <c r="R301" s="6">
        <v>3788309</v>
      </c>
      <c r="S301" s="6">
        <v>3919709</v>
      </c>
      <c r="T301" s="6">
        <v>3717930</v>
      </c>
      <c r="U301" s="6">
        <v>3085177</v>
      </c>
    </row>
    <row r="302" spans="1:21" ht="15">
      <c r="A302" s="2" t="s">
        <v>602</v>
      </c>
      <c r="B302" s="5">
        <v>4094582</v>
      </c>
      <c r="C302" s="2" t="s">
        <v>603</v>
      </c>
      <c r="D302" s="6">
        <v>31553854</v>
      </c>
      <c r="E302" s="6">
        <v>21132279</v>
      </c>
      <c r="F302" s="6">
        <v>24768192</v>
      </c>
      <c r="G302" s="6">
        <v>34083171</v>
      </c>
      <c r="H302" s="6">
        <v>31640819</v>
      </c>
      <c r="I302" s="6">
        <v>31853705</v>
      </c>
      <c r="J302" s="6">
        <v>2354555</v>
      </c>
      <c r="K302" s="6">
        <v>2493522</v>
      </c>
      <c r="L302" s="6">
        <v>2397216</v>
      </c>
      <c r="M302" s="6">
        <v>1766891</v>
      </c>
      <c r="N302" s="6">
        <v>1714421</v>
      </c>
      <c r="O302" s="6">
        <v>-779793</v>
      </c>
      <c r="P302" s="6">
        <v>17537683</v>
      </c>
      <c r="Q302" s="6">
        <v>17240545</v>
      </c>
      <c r="R302" s="6">
        <v>16164249</v>
      </c>
      <c r="S302" s="6">
        <v>13127485</v>
      </c>
      <c r="T302" s="6">
        <v>9454057</v>
      </c>
      <c r="U302" s="6">
        <v>4917133</v>
      </c>
    </row>
    <row r="303" spans="1:21" ht="15">
      <c r="A303" s="2" t="s">
        <v>604</v>
      </c>
      <c r="B303" s="5">
        <v>4133448</v>
      </c>
      <c r="C303" s="2" t="s">
        <v>605</v>
      </c>
      <c r="D303" s="6">
        <v>5781200</v>
      </c>
      <c r="E303" s="6">
        <v>9621400</v>
      </c>
      <c r="F303" s="6">
        <v>9069300</v>
      </c>
      <c r="G303" s="6">
        <v>7850100</v>
      </c>
      <c r="H303" s="6">
        <v>6600000</v>
      </c>
      <c r="I303" s="6">
        <v>6161100</v>
      </c>
      <c r="J303" s="6">
        <v>1125600</v>
      </c>
      <c r="K303" s="6">
        <v>3438200</v>
      </c>
      <c r="L303" s="6">
        <v>4110400</v>
      </c>
      <c r="M303" s="6">
        <v>3022600</v>
      </c>
      <c r="N303" s="6">
        <v>2153100</v>
      </c>
      <c r="O303" s="6">
        <v>1909400</v>
      </c>
      <c r="P303" s="6">
        <v>4401600</v>
      </c>
      <c r="Q303" s="6">
        <v>7634400</v>
      </c>
      <c r="R303" s="6">
        <v>8438700</v>
      </c>
      <c r="S303" s="6">
        <v>6820900</v>
      </c>
      <c r="T303" s="6">
        <v>5438400</v>
      </c>
      <c r="U303" s="6">
        <v>5274200</v>
      </c>
    </row>
    <row r="304" spans="1:21" ht="15">
      <c r="A304" s="2" t="s">
        <v>606</v>
      </c>
      <c r="B304" s="5">
        <v>4133530</v>
      </c>
      <c r="C304" s="2" t="s">
        <v>607</v>
      </c>
      <c r="D304" s="6">
        <v>15352000</v>
      </c>
      <c r="E304" s="6">
        <v>7230000</v>
      </c>
      <c r="F304" s="6">
        <v>7335000</v>
      </c>
      <c r="G304" s="6">
        <v>7576000</v>
      </c>
      <c r="H304" s="6">
        <v>13999000</v>
      </c>
      <c r="I304" s="6">
        <v>14078000</v>
      </c>
      <c r="J304" s="6">
        <v>18090000</v>
      </c>
      <c r="K304" s="6">
        <v>9003000</v>
      </c>
      <c r="L304" s="6">
        <v>4096000</v>
      </c>
      <c r="M304" s="6">
        <v>16740000</v>
      </c>
      <c r="N304" s="6">
        <v>12928000</v>
      </c>
      <c r="O304" s="6">
        <v>8710000</v>
      </c>
      <c r="P304" s="6">
        <v>37378000</v>
      </c>
      <c r="Q304" s="6">
        <v>25111000</v>
      </c>
      <c r="R304" s="6">
        <v>15540000</v>
      </c>
      <c r="S304" s="6">
        <v>30758000</v>
      </c>
      <c r="T304" s="6">
        <v>27705000</v>
      </c>
      <c r="U304" s="6">
        <v>21435000</v>
      </c>
    </row>
    <row r="305" spans="1:21" ht="15">
      <c r="A305" s="2" t="s">
        <v>608</v>
      </c>
      <c r="B305" s="5">
        <v>4004214</v>
      </c>
      <c r="C305" s="2" t="s">
        <v>609</v>
      </c>
      <c r="D305" s="6">
        <v>112184000</v>
      </c>
      <c r="E305" s="6">
        <v>82110000</v>
      </c>
      <c r="F305" s="6">
        <v>82278000</v>
      </c>
      <c r="G305" s="6">
        <v>78400000</v>
      </c>
      <c r="H305" s="6">
        <v>79441000</v>
      </c>
      <c r="I305" s="6">
        <v>97852000</v>
      </c>
      <c r="J305" s="6">
        <v>156528000</v>
      </c>
      <c r="K305" s="6">
        <v>129433000</v>
      </c>
      <c r="L305" s="6">
        <v>102023000</v>
      </c>
      <c r="M305" s="6">
        <v>97983000</v>
      </c>
      <c r="N305" s="6">
        <v>80816000</v>
      </c>
      <c r="O305" s="6">
        <v>65259000</v>
      </c>
      <c r="P305" s="6">
        <v>281724000</v>
      </c>
      <c r="Q305" s="6">
        <v>245122000</v>
      </c>
      <c r="R305" s="6">
        <v>211915000</v>
      </c>
      <c r="S305" s="6">
        <v>198270000</v>
      </c>
      <c r="T305" s="6">
        <v>168088000</v>
      </c>
      <c r="U305" s="6">
        <v>143015000</v>
      </c>
    </row>
    <row r="306" spans="1:21" ht="15">
      <c r="A306" s="2" t="s">
        <v>610</v>
      </c>
      <c r="B306" s="5">
        <v>103123</v>
      </c>
      <c r="C306" s="2" t="s">
        <v>611</v>
      </c>
      <c r="D306" s="6">
        <v>5429651</v>
      </c>
      <c r="E306" s="6">
        <v>4594452</v>
      </c>
      <c r="F306" s="6">
        <v>4546941</v>
      </c>
      <c r="G306" s="6">
        <v>4443574</v>
      </c>
      <c r="H306" s="6">
        <v>4567569</v>
      </c>
      <c r="I306" s="6">
        <v>5007048</v>
      </c>
      <c r="J306" s="6">
        <v>1242407</v>
      </c>
      <c r="K306" s="6">
        <v>1243153</v>
      </c>
      <c r="L306" s="6">
        <v>1254759</v>
      </c>
      <c r="M306" s="6">
        <v>1172882</v>
      </c>
      <c r="N306" s="6">
        <v>999283</v>
      </c>
      <c r="O306" s="6">
        <v>939191</v>
      </c>
      <c r="P306" s="6">
        <v>2209126</v>
      </c>
      <c r="Q306" s="6">
        <v>2191015</v>
      </c>
      <c r="R306" s="6">
        <v>2148468</v>
      </c>
      <c r="S306" s="6">
        <v>2019866</v>
      </c>
      <c r="T306" s="6">
        <v>1778082</v>
      </c>
      <c r="U306" s="6">
        <v>1677984</v>
      </c>
    </row>
    <row r="307" spans="1:21" ht="15">
      <c r="A307" s="2" t="s">
        <v>612</v>
      </c>
      <c r="B307" s="5">
        <v>4430411</v>
      </c>
      <c r="C307" s="2" t="s">
        <v>613</v>
      </c>
      <c r="D307" s="6">
        <v>1305000</v>
      </c>
      <c r="E307" s="6">
        <v>237000</v>
      </c>
      <c r="F307" s="6">
        <v>916000</v>
      </c>
      <c r="G307" s="6">
        <v>1200000</v>
      </c>
      <c r="H307" s="6">
        <v>1243000</v>
      </c>
      <c r="I307" s="6">
        <v>747000</v>
      </c>
      <c r="J307" s="6">
        <v>-2859000</v>
      </c>
      <c r="K307" s="6">
        <v>-3756000</v>
      </c>
      <c r="L307" s="6">
        <v>-3618000</v>
      </c>
      <c r="M307" s="6">
        <v>9768000</v>
      </c>
      <c r="N307" s="6">
        <v>13528000</v>
      </c>
      <c r="O307" s="6">
        <v>-732000</v>
      </c>
      <c r="P307" s="6">
        <v>1944000</v>
      </c>
      <c r="Q307" s="6">
        <v>3236000</v>
      </c>
      <c r="R307" s="6">
        <v>6848000</v>
      </c>
      <c r="S307" s="6">
        <v>19263000</v>
      </c>
      <c r="T307" s="6">
        <v>18471000</v>
      </c>
      <c r="U307" s="6">
        <v>803000</v>
      </c>
    </row>
    <row r="308" spans="1:21" ht="15">
      <c r="A308" s="2" t="s">
        <v>614</v>
      </c>
      <c r="B308" s="5">
        <v>4209632</v>
      </c>
      <c r="C308" s="2" t="s">
        <v>615</v>
      </c>
      <c r="D308" s="6">
        <v>6512400</v>
      </c>
      <c r="E308" s="6">
        <v>8603300</v>
      </c>
      <c r="F308" s="6">
        <v>7466100</v>
      </c>
      <c r="G308" s="6">
        <v>6706300</v>
      </c>
      <c r="H308" s="6">
        <v>6434700</v>
      </c>
      <c r="I308" s="6">
        <v>6354300</v>
      </c>
      <c r="J308" s="6">
        <v>2363300</v>
      </c>
      <c r="K308" s="6">
        <v>2476700</v>
      </c>
      <c r="L308" s="6">
        <v>2281900</v>
      </c>
      <c r="M308" s="6">
        <v>1813800</v>
      </c>
      <c r="N308" s="6">
        <v>2316000</v>
      </c>
      <c r="O308" s="6">
        <v>2198900</v>
      </c>
      <c r="P308" s="6">
        <v>11140800</v>
      </c>
      <c r="Q308" s="6">
        <v>11627000</v>
      </c>
      <c r="R308" s="6">
        <v>11702100</v>
      </c>
      <c r="S308" s="6">
        <v>10701000</v>
      </c>
      <c r="T308" s="6">
        <v>10279700</v>
      </c>
      <c r="U308" s="6">
        <v>9654000</v>
      </c>
    </row>
    <row r="309" spans="1:21" ht="15">
      <c r="A309" s="2" t="s">
        <v>616</v>
      </c>
      <c r="B309" s="5">
        <v>4060931</v>
      </c>
      <c r="C309" s="2" t="s">
        <v>617</v>
      </c>
      <c r="D309" s="6">
        <v>21968000</v>
      </c>
      <c r="E309" s="6">
        <v>20706000</v>
      </c>
      <c r="F309" s="6">
        <v>20145000</v>
      </c>
      <c r="G309" s="6">
        <v>23613000</v>
      </c>
      <c r="H309" s="6">
        <v>20110000</v>
      </c>
      <c r="I309" s="6">
        <v>18544000</v>
      </c>
      <c r="J309" s="6">
        <v>4990000</v>
      </c>
      <c r="K309" s="6">
        <v>7740000</v>
      </c>
      <c r="L309" s="6">
        <v>6898000</v>
      </c>
      <c r="M309" s="6">
        <v>5838000</v>
      </c>
      <c r="N309" s="6">
        <v>6107000</v>
      </c>
      <c r="O309" s="6">
        <v>5416000</v>
      </c>
      <c r="P309" s="6">
        <v>38537000</v>
      </c>
      <c r="Q309" s="6">
        <v>36441000</v>
      </c>
      <c r="R309" s="6">
        <v>36016000</v>
      </c>
      <c r="S309" s="6">
        <v>31496000</v>
      </c>
      <c r="T309" s="6">
        <v>28720000</v>
      </c>
      <c r="U309" s="6">
        <v>26581000</v>
      </c>
    </row>
    <row r="310" spans="1:21" ht="15">
      <c r="A310" s="2" t="s">
        <v>618</v>
      </c>
      <c r="B310" s="5">
        <v>4967353</v>
      </c>
      <c r="C310" s="2" t="s">
        <v>619</v>
      </c>
      <c r="D310" s="6">
        <v>24103</v>
      </c>
      <c r="E310" s="6">
        <v>3099</v>
      </c>
      <c r="F310" s="6">
        <v>5807</v>
      </c>
      <c r="G310" s="6">
        <v>3797</v>
      </c>
      <c r="H310" s="6">
        <v>7868</v>
      </c>
      <c r="I310" s="6">
        <v>15793</v>
      </c>
      <c r="J310" s="6">
        <v>781149</v>
      </c>
      <c r="K310" s="6">
        <v>575788</v>
      </c>
      <c r="L310" s="6">
        <v>521904</v>
      </c>
      <c r="M310" s="6">
        <v>563899</v>
      </c>
      <c r="N310" s="6">
        <v>291116</v>
      </c>
      <c r="O310" s="6">
        <v>185872</v>
      </c>
      <c r="P310" s="6">
        <v>2790459</v>
      </c>
      <c r="Q310" s="6">
        <v>2207100</v>
      </c>
      <c r="R310" s="6">
        <v>1821072</v>
      </c>
      <c r="S310" s="6">
        <v>1794148</v>
      </c>
      <c r="T310" s="6">
        <v>1207798</v>
      </c>
      <c r="U310" s="6">
        <v>844452</v>
      </c>
    </row>
    <row r="311" spans="1:21" ht="15">
      <c r="A311" s="2" t="s">
        <v>620</v>
      </c>
      <c r="B311" s="5">
        <v>4915639</v>
      </c>
      <c r="C311" s="2" t="s">
        <v>621</v>
      </c>
      <c r="D311" s="6">
        <v>66007</v>
      </c>
      <c r="E311" s="6">
        <v>21336</v>
      </c>
      <c r="F311" s="6">
        <v>22380</v>
      </c>
      <c r="G311" s="6">
        <v>38131</v>
      </c>
      <c r="H311" s="6">
        <v>66015</v>
      </c>
      <c r="I311" s="6">
        <v>373951</v>
      </c>
      <c r="J311" s="6">
        <v>2658504</v>
      </c>
      <c r="K311" s="6">
        <v>2137828</v>
      </c>
      <c r="L311" s="6">
        <v>2060953</v>
      </c>
      <c r="M311" s="6">
        <v>1648162</v>
      </c>
      <c r="N311" s="6">
        <v>1852922</v>
      </c>
      <c r="O311" s="6">
        <v>1690383</v>
      </c>
      <c r="P311" s="6">
        <v>8294343</v>
      </c>
      <c r="Q311" s="6">
        <v>7492709</v>
      </c>
      <c r="R311" s="6">
        <v>7140027</v>
      </c>
      <c r="S311" s="6">
        <v>6311050</v>
      </c>
      <c r="T311" s="6">
        <v>5541352</v>
      </c>
      <c r="U311" s="6">
        <v>4598638</v>
      </c>
    </row>
    <row r="312" spans="1:21" ht="15">
      <c r="A312" s="2" t="s">
        <v>622</v>
      </c>
      <c r="B312" s="5">
        <v>108462</v>
      </c>
      <c r="C312" s="2" t="s">
        <v>623</v>
      </c>
      <c r="D312" s="6">
        <v>7435000</v>
      </c>
      <c r="E312" s="6">
        <v>6944000</v>
      </c>
      <c r="F312" s="6">
        <v>7996000</v>
      </c>
      <c r="G312" s="6">
        <v>8102000</v>
      </c>
      <c r="H312" s="6">
        <v>7598000</v>
      </c>
      <c r="I312" s="6">
        <v>7915000</v>
      </c>
      <c r="J312" s="6">
        <v>3737000</v>
      </c>
      <c r="K312" s="6">
        <v>3232000</v>
      </c>
      <c r="L312" s="6">
        <v>2485000</v>
      </c>
      <c r="M312" s="6">
        <v>2256000</v>
      </c>
      <c r="N312" s="6">
        <v>3094000</v>
      </c>
      <c r="O312" s="6">
        <v>2661000</v>
      </c>
      <c r="P312" s="6">
        <v>7718000</v>
      </c>
      <c r="Q312" s="6">
        <v>7088000</v>
      </c>
      <c r="R312" s="6">
        <v>5916000</v>
      </c>
      <c r="S312" s="6">
        <v>5468000</v>
      </c>
      <c r="T312" s="6">
        <v>6218000</v>
      </c>
      <c r="U312" s="6">
        <v>5371000</v>
      </c>
    </row>
    <row r="313" spans="1:21" ht="15">
      <c r="A313" s="2" t="s">
        <v>624</v>
      </c>
      <c r="B313" s="5">
        <v>103042</v>
      </c>
      <c r="C313" s="2" t="s">
        <v>625</v>
      </c>
      <c r="D313" s="6">
        <v>513408000</v>
      </c>
      <c r="E313" s="6">
        <v>341525000</v>
      </c>
      <c r="F313" s="6">
        <v>357380000</v>
      </c>
      <c r="G313" s="6">
        <v>367465000</v>
      </c>
      <c r="H313" s="6">
        <v>394787000</v>
      </c>
      <c r="I313" s="6">
        <v>418581000</v>
      </c>
      <c r="J313" s="7" t="s">
        <v>61</v>
      </c>
      <c r="K313" s="7" t="s">
        <v>61</v>
      </c>
      <c r="L313" s="7" t="s">
        <v>61</v>
      </c>
      <c r="M313" s="7" t="s">
        <v>61</v>
      </c>
      <c r="N313" s="7" t="s">
        <v>61</v>
      </c>
      <c r="O313" s="7" t="s">
        <v>61</v>
      </c>
      <c r="P313" s="6">
        <v>70296000</v>
      </c>
      <c r="Q313" s="6">
        <v>61497000</v>
      </c>
      <c r="R313" s="6">
        <v>53611000</v>
      </c>
      <c r="S313" s="6">
        <v>53388000</v>
      </c>
      <c r="T313" s="6">
        <v>59751000</v>
      </c>
      <c r="U313" s="6">
        <v>47996000</v>
      </c>
    </row>
    <row r="314" spans="1:21" ht="15">
      <c r="A314" s="2" t="s">
        <v>626</v>
      </c>
      <c r="B314" s="5">
        <v>4280272</v>
      </c>
      <c r="C314" s="2" t="s">
        <v>627</v>
      </c>
      <c r="D314" s="6">
        <v>9766000</v>
      </c>
      <c r="E314" s="6">
        <v>5703000</v>
      </c>
      <c r="F314" s="6">
        <v>6130000</v>
      </c>
      <c r="G314" s="6">
        <v>6551000</v>
      </c>
      <c r="H314" s="6">
        <v>6550000</v>
      </c>
      <c r="I314" s="6">
        <v>6551000</v>
      </c>
      <c r="J314" s="6">
        <v>3523000</v>
      </c>
      <c r="K314" s="6">
        <v>3168000</v>
      </c>
      <c r="L314" s="6">
        <v>2822000</v>
      </c>
      <c r="M314" s="6">
        <v>2474000</v>
      </c>
      <c r="N314" s="6">
        <v>2288000</v>
      </c>
      <c r="O314" s="6">
        <v>1932000</v>
      </c>
      <c r="P314" s="6">
        <v>11682000</v>
      </c>
      <c r="Q314" s="6">
        <v>10817000</v>
      </c>
      <c r="R314" s="6">
        <v>9978000</v>
      </c>
      <c r="S314" s="6">
        <v>9112000</v>
      </c>
      <c r="T314" s="6">
        <v>8171000</v>
      </c>
      <c r="U314" s="6">
        <v>7414000</v>
      </c>
    </row>
    <row r="315" spans="1:21" ht="15">
      <c r="A315" s="2" t="s">
        <v>628</v>
      </c>
      <c r="B315" s="5">
        <v>4167462</v>
      </c>
      <c r="C315" s="2" t="s">
        <v>629</v>
      </c>
      <c r="D315" s="6">
        <v>6338406</v>
      </c>
      <c r="E315" s="6">
        <v>3519119</v>
      </c>
      <c r="F315" s="6">
        <v>4311451</v>
      </c>
      <c r="G315" s="6">
        <v>4643521</v>
      </c>
      <c r="H315" s="6">
        <v>4627862</v>
      </c>
      <c r="I315" s="6">
        <v>4631969</v>
      </c>
      <c r="J315" s="6">
        <v>1824099</v>
      </c>
      <c r="K315" s="6">
        <v>1647249</v>
      </c>
      <c r="L315" s="6">
        <v>1476805</v>
      </c>
      <c r="M315" s="6">
        <v>1300949</v>
      </c>
      <c r="N315" s="6">
        <v>1172806</v>
      </c>
      <c r="O315" s="6">
        <v>947204</v>
      </c>
      <c r="P315" s="6">
        <v>3134459</v>
      </c>
      <c r="Q315" s="6">
        <v>2856128</v>
      </c>
      <c r="R315" s="6">
        <v>2528920</v>
      </c>
      <c r="S315" s="6">
        <v>2248598</v>
      </c>
      <c r="T315" s="6">
        <v>2043544</v>
      </c>
      <c r="U315" s="6">
        <v>1695390</v>
      </c>
    </row>
    <row r="316" spans="1:21" ht="15">
      <c r="A316" s="2" t="s">
        <v>630</v>
      </c>
      <c r="B316" s="5">
        <v>4057757</v>
      </c>
      <c r="C316" s="2" t="s">
        <v>631</v>
      </c>
      <c r="D316" s="6">
        <v>9526000</v>
      </c>
      <c r="E316" s="6">
        <v>5976000</v>
      </c>
      <c r="F316" s="6">
        <v>6253000</v>
      </c>
      <c r="G316" s="6">
        <v>5905000</v>
      </c>
      <c r="H316" s="6">
        <v>10933000</v>
      </c>
      <c r="I316" s="6">
        <v>9923000</v>
      </c>
      <c r="J316" s="6">
        <v>3117000</v>
      </c>
      <c r="K316" s="6">
        <v>2617000</v>
      </c>
      <c r="L316" s="6">
        <v>2163000</v>
      </c>
      <c r="M316" s="6">
        <v>1952000</v>
      </c>
      <c r="N316" s="6">
        <v>1901000</v>
      </c>
      <c r="O316" s="6">
        <v>1547000</v>
      </c>
      <c r="P316" s="6">
        <v>5249000</v>
      </c>
      <c r="Q316" s="6">
        <v>4649000</v>
      </c>
      <c r="R316" s="6">
        <v>3895000</v>
      </c>
      <c r="S316" s="6">
        <v>3582000</v>
      </c>
      <c r="T316" s="6">
        <v>3420000</v>
      </c>
      <c r="U316" s="6">
        <v>2903000</v>
      </c>
    </row>
    <row r="317" spans="1:21" ht="15">
      <c r="A317" s="2" t="s">
        <v>632</v>
      </c>
      <c r="B317" s="5">
        <v>4305562</v>
      </c>
      <c r="C317" s="2" t="s">
        <v>633</v>
      </c>
      <c r="D317" s="6">
        <v>3491000</v>
      </c>
      <c r="E317" s="6">
        <v>1812000</v>
      </c>
      <c r="F317" s="6">
        <v>2752000</v>
      </c>
      <c r="G317" s="6">
        <v>2940000</v>
      </c>
      <c r="H317" s="6">
        <v>2684000</v>
      </c>
      <c r="I317" s="6">
        <v>2652000</v>
      </c>
      <c r="J317" s="6">
        <v>1640000</v>
      </c>
      <c r="K317" s="6">
        <v>1489000</v>
      </c>
      <c r="L317" s="6">
        <v>1365000</v>
      </c>
      <c r="M317" s="6">
        <v>1364000</v>
      </c>
      <c r="N317" s="6">
        <v>1099000</v>
      </c>
      <c r="O317" s="6">
        <v>1082000</v>
      </c>
      <c r="P317" s="6">
        <v>6572000</v>
      </c>
      <c r="Q317" s="6">
        <v>6268000</v>
      </c>
      <c r="R317" s="6">
        <v>6362000</v>
      </c>
      <c r="S317" s="6">
        <v>6318000</v>
      </c>
      <c r="T317" s="6">
        <v>5744000</v>
      </c>
      <c r="U317" s="6">
        <v>5412000</v>
      </c>
    </row>
    <row r="318" spans="1:21" ht="15">
      <c r="A318" s="2" t="s">
        <v>634</v>
      </c>
      <c r="B318" s="5">
        <v>4104060</v>
      </c>
      <c r="C318" s="2" t="s">
        <v>635</v>
      </c>
      <c r="D318" s="6">
        <v>16975837</v>
      </c>
      <c r="E318" s="6">
        <v>18510826</v>
      </c>
      <c r="F318" s="6">
        <v>18116570</v>
      </c>
      <c r="G318" s="6">
        <v>16931564</v>
      </c>
      <c r="H318" s="6">
        <v>16973374</v>
      </c>
      <c r="I318" s="6">
        <v>17994974</v>
      </c>
      <c r="J318" s="6">
        <v>13659992</v>
      </c>
      <c r="K318" s="6">
        <v>10746528</v>
      </c>
      <c r="L318" s="6">
        <v>7310950</v>
      </c>
      <c r="M318" s="6">
        <v>5969513</v>
      </c>
      <c r="N318" s="6">
        <v>6402921</v>
      </c>
      <c r="O318" s="6">
        <v>4700999</v>
      </c>
      <c r="P318" s="6">
        <v>45183036</v>
      </c>
      <c r="Q318" s="6">
        <v>39000966</v>
      </c>
      <c r="R318" s="6">
        <v>33723297</v>
      </c>
      <c r="S318" s="6">
        <v>31615550</v>
      </c>
      <c r="T318" s="6">
        <v>29697844</v>
      </c>
      <c r="U318" s="6">
        <v>24996056</v>
      </c>
    </row>
    <row r="319" spans="1:21" ht="15">
      <c r="A319" s="2" t="s">
        <v>636</v>
      </c>
      <c r="B319" s="5">
        <v>4075105</v>
      </c>
      <c r="C319" s="2" t="s">
        <v>637</v>
      </c>
      <c r="D319" s="6">
        <v>5698000</v>
      </c>
      <c r="E319" s="6">
        <v>6702000</v>
      </c>
      <c r="F319" s="6">
        <v>6302000</v>
      </c>
      <c r="G319" s="6">
        <v>6132000</v>
      </c>
      <c r="H319" s="6">
        <v>9460000</v>
      </c>
      <c r="I319" s="6">
        <v>8972000</v>
      </c>
      <c r="J319" s="6">
        <v>13846000</v>
      </c>
      <c r="K319" s="6">
        <v>8861000</v>
      </c>
      <c r="L319" s="6">
        <v>3063000</v>
      </c>
      <c r="M319" s="6">
        <v>3969000</v>
      </c>
      <c r="N319" s="6">
        <v>4450000</v>
      </c>
      <c r="O319" s="6">
        <v>5673000</v>
      </c>
      <c r="P319" s="6">
        <v>22669000</v>
      </c>
      <c r="Q319" s="6">
        <v>18682000</v>
      </c>
      <c r="R319" s="6">
        <v>11812000</v>
      </c>
      <c r="S319" s="6">
        <v>11915000</v>
      </c>
      <c r="T319" s="6">
        <v>12222000</v>
      </c>
      <c r="U319" s="6">
        <v>11497000</v>
      </c>
    </row>
    <row r="320" spans="1:21" ht="15">
      <c r="A320" s="2" t="s">
        <v>638</v>
      </c>
      <c r="B320" s="5">
        <v>4382367</v>
      </c>
      <c r="C320" s="2" t="s">
        <v>639</v>
      </c>
      <c r="D320" s="6">
        <v>2940000</v>
      </c>
      <c r="E320" s="6">
        <v>2570000</v>
      </c>
      <c r="F320" s="6">
        <v>3594000</v>
      </c>
      <c r="G320" s="6">
        <v>4155000</v>
      </c>
      <c r="H320" s="6">
        <v>4210000</v>
      </c>
      <c r="I320" s="6">
        <v>3103000</v>
      </c>
      <c r="J320" s="6">
        <v>1134000</v>
      </c>
      <c r="K320" s="6">
        <v>970000</v>
      </c>
      <c r="L320" s="6">
        <v>878000</v>
      </c>
      <c r="M320" s="6">
        <v>1418000</v>
      </c>
      <c r="N320" s="6">
        <v>1036000</v>
      </c>
      <c r="O320" s="6">
        <v>785000</v>
      </c>
      <c r="P320" s="6">
        <v>8452000</v>
      </c>
      <c r="Q320" s="6">
        <v>8252000</v>
      </c>
      <c r="R320" s="6">
        <v>8012000</v>
      </c>
      <c r="S320" s="6">
        <v>10385000</v>
      </c>
      <c r="T320" s="6">
        <v>9358000</v>
      </c>
      <c r="U320" s="6">
        <v>9008000</v>
      </c>
    </row>
    <row r="321" spans="1:21" ht="15">
      <c r="A321" s="2" t="s">
        <v>640</v>
      </c>
      <c r="B321" s="5">
        <v>3010401</v>
      </c>
      <c r="C321" s="2" t="s">
        <v>641</v>
      </c>
      <c r="D321" s="6">
        <v>97220000</v>
      </c>
      <c r="E321" s="6">
        <v>48215000</v>
      </c>
      <c r="F321" s="6">
        <v>55027000</v>
      </c>
      <c r="G321" s="6">
        <v>65741000</v>
      </c>
      <c r="H321" s="6">
        <v>74067000</v>
      </c>
      <c r="I321" s="6">
        <v>83560000</v>
      </c>
      <c r="J321" s="6">
        <v>14138000</v>
      </c>
      <c r="K321" s="6">
        <v>13150000</v>
      </c>
      <c r="L321" s="6">
        <v>16228000</v>
      </c>
      <c r="M321" s="6">
        <v>8717000</v>
      </c>
      <c r="N321" s="6">
        <v>7307000</v>
      </c>
      <c r="O321" s="6">
        <v>9278000</v>
      </c>
      <c r="P321" s="6">
        <v>27412000</v>
      </c>
      <c r="Q321" s="6">
        <v>24753000</v>
      </c>
      <c r="R321" s="6">
        <v>28114000</v>
      </c>
      <c r="S321" s="6">
        <v>20956000</v>
      </c>
      <c r="T321" s="6">
        <v>17069000</v>
      </c>
      <c r="U321" s="6">
        <v>17997000</v>
      </c>
    </row>
    <row r="322" spans="1:21" ht="15">
      <c r="A322" s="2" t="s">
        <v>642</v>
      </c>
      <c r="B322" s="5">
        <v>4004236</v>
      </c>
      <c r="C322" s="2" t="s">
        <v>643</v>
      </c>
      <c r="D322" s="6">
        <v>11021000</v>
      </c>
      <c r="E322" s="6">
        <v>13015000</v>
      </c>
      <c r="F322" s="6">
        <v>12813000</v>
      </c>
      <c r="G322" s="6">
        <v>12627000</v>
      </c>
      <c r="H322" s="6">
        <v>12144000</v>
      </c>
      <c r="I322" s="6">
        <v>11983000</v>
      </c>
      <c r="J322" s="6">
        <v>4477000</v>
      </c>
      <c r="K322" s="6">
        <v>7550000</v>
      </c>
      <c r="L322" s="6">
        <v>6618000</v>
      </c>
      <c r="M322" s="6">
        <v>7515000</v>
      </c>
      <c r="N322" s="6">
        <v>8028000</v>
      </c>
      <c r="O322" s="6">
        <v>4234000</v>
      </c>
      <c r="P322" s="6">
        <v>46309000</v>
      </c>
      <c r="Q322" s="6">
        <v>51362000</v>
      </c>
      <c r="R322" s="6">
        <v>51217000</v>
      </c>
      <c r="S322" s="6">
        <v>46710000</v>
      </c>
      <c r="T322" s="6">
        <v>44538000</v>
      </c>
      <c r="U322" s="6">
        <v>37403000</v>
      </c>
    </row>
    <row r="323" spans="1:21" ht="15">
      <c r="A323" s="2" t="s">
        <v>644</v>
      </c>
      <c r="B323" s="5">
        <v>4057051</v>
      </c>
      <c r="C323" s="2" t="s">
        <v>645</v>
      </c>
      <c r="D323" s="6">
        <v>16240400</v>
      </c>
      <c r="E323" s="6">
        <v>9956700</v>
      </c>
      <c r="F323" s="6">
        <v>9972500</v>
      </c>
      <c r="G323" s="6">
        <v>11352200</v>
      </c>
      <c r="H323" s="6">
        <v>14162000</v>
      </c>
      <c r="I323" s="6">
        <v>13987600</v>
      </c>
      <c r="J323" s="6">
        <v>2887500</v>
      </c>
      <c r="K323" s="6">
        <v>2391300</v>
      </c>
      <c r="L323" s="6">
        <v>2092500</v>
      </c>
      <c r="M323" s="6">
        <v>1945800</v>
      </c>
      <c r="N323" s="6">
        <v>1739100</v>
      </c>
      <c r="O323" s="6">
        <v>1636500</v>
      </c>
      <c r="P323" s="6">
        <v>6642200</v>
      </c>
      <c r="Q323" s="6">
        <v>5455100</v>
      </c>
      <c r="R323" s="6">
        <v>5505400</v>
      </c>
      <c r="S323" s="6">
        <v>5850600</v>
      </c>
      <c r="T323" s="6">
        <v>4899600</v>
      </c>
      <c r="U323" s="6">
        <v>4681700</v>
      </c>
    </row>
    <row r="324" spans="1:21" ht="15">
      <c r="A324" s="2" t="s">
        <v>646</v>
      </c>
      <c r="B324" s="5">
        <v>4298336</v>
      </c>
      <c r="C324" s="2" t="s">
        <v>647</v>
      </c>
      <c r="D324" s="6">
        <v>2092358</v>
      </c>
      <c r="E324" s="6">
        <v>1248684</v>
      </c>
      <c r="F324" s="6">
        <v>951547</v>
      </c>
      <c r="G324" s="6">
        <v>860454</v>
      </c>
      <c r="H324" s="6">
        <v>1862909</v>
      </c>
      <c r="I324" s="6">
        <v>2320351</v>
      </c>
      <c r="J324" s="6">
        <v>884010</v>
      </c>
      <c r="K324" s="6">
        <v>824203</v>
      </c>
      <c r="L324" s="6">
        <v>802265</v>
      </c>
      <c r="M324" s="6">
        <v>762876</v>
      </c>
      <c r="N324" s="6">
        <v>712661</v>
      </c>
      <c r="O324" s="6">
        <v>540171</v>
      </c>
      <c r="P324" s="6">
        <v>2791687</v>
      </c>
      <c r="Q324" s="6">
        <v>2689921</v>
      </c>
      <c r="R324" s="6">
        <v>2628632</v>
      </c>
      <c r="S324" s="6">
        <v>2590278</v>
      </c>
      <c r="T324" s="6">
        <v>2362209</v>
      </c>
      <c r="U324" s="6">
        <v>2121100</v>
      </c>
    </row>
    <row r="325" spans="1:21" ht="15">
      <c r="A325" s="2" t="s">
        <v>648</v>
      </c>
      <c r="B325" s="5">
        <v>4021829</v>
      </c>
      <c r="C325" s="2" t="s">
        <v>649</v>
      </c>
      <c r="D325" s="6">
        <v>17839000</v>
      </c>
      <c r="E325" s="6">
        <v>13648000</v>
      </c>
      <c r="F325" s="6">
        <v>14787000</v>
      </c>
      <c r="G325" s="6">
        <v>16126000</v>
      </c>
      <c r="H325" s="6">
        <v>18105000</v>
      </c>
      <c r="I325" s="6">
        <v>18012000</v>
      </c>
      <c r="J325" s="6">
        <v>5597000</v>
      </c>
      <c r="K325" s="6">
        <v>5932000</v>
      </c>
      <c r="L325" s="6">
        <v>5265000</v>
      </c>
      <c r="M325" s="6">
        <v>6030000</v>
      </c>
      <c r="N325" s="6">
        <v>5730000</v>
      </c>
      <c r="O325" s="6">
        <v>4632000</v>
      </c>
      <c r="P325" s="6">
        <v>12180000</v>
      </c>
      <c r="Q325" s="6">
        <v>12123000</v>
      </c>
      <c r="R325" s="6">
        <v>12156000</v>
      </c>
      <c r="S325" s="6">
        <v>12745000</v>
      </c>
      <c r="T325" s="6">
        <v>11142000</v>
      </c>
      <c r="U325" s="6">
        <v>9789000</v>
      </c>
    </row>
    <row r="326" spans="1:21" ht="15">
      <c r="A326" s="2" t="s">
        <v>650</v>
      </c>
      <c r="B326" s="5">
        <v>100386</v>
      </c>
      <c r="C326" s="2" t="s">
        <v>651</v>
      </c>
      <c r="D326" s="6">
        <v>18285800</v>
      </c>
      <c r="E326" s="6">
        <v>11667300</v>
      </c>
      <c r="F326" s="6">
        <v>9281900</v>
      </c>
      <c r="G326" s="6">
        <v>17261200</v>
      </c>
      <c r="H326" s="6">
        <v>19373300</v>
      </c>
      <c r="I326" s="6">
        <v>17601100</v>
      </c>
      <c r="J326" s="7" t="s">
        <v>61</v>
      </c>
      <c r="K326" s="7" t="s">
        <v>61</v>
      </c>
      <c r="L326" s="7" t="s">
        <v>61</v>
      </c>
      <c r="M326" s="7" t="s">
        <v>61</v>
      </c>
      <c r="N326" s="7" t="s">
        <v>61</v>
      </c>
      <c r="O326" s="7" t="s">
        <v>61</v>
      </c>
      <c r="P326" s="6">
        <v>8093900</v>
      </c>
      <c r="Q326" s="6">
        <v>8293400</v>
      </c>
      <c r="R326" s="6">
        <v>6749000</v>
      </c>
      <c r="S326" s="6">
        <v>6749200</v>
      </c>
      <c r="T326" s="6">
        <v>6546000</v>
      </c>
      <c r="U326" s="6">
        <v>5975800</v>
      </c>
    </row>
    <row r="327" spans="1:21" ht="15">
      <c r="A327" s="2" t="s">
        <v>652</v>
      </c>
      <c r="B327" s="5">
        <v>4069910</v>
      </c>
      <c r="C327" s="2" t="s">
        <v>653</v>
      </c>
      <c r="D327" s="6">
        <v>17884000</v>
      </c>
      <c r="E327" s="6">
        <v>16609000</v>
      </c>
      <c r="F327" s="6">
        <v>14657000</v>
      </c>
      <c r="G327" s="6">
        <v>15000000</v>
      </c>
      <c r="H327" s="6">
        <v>16048000</v>
      </c>
      <c r="I327" s="6">
        <v>18396000</v>
      </c>
      <c r="J327" s="6">
        <v>6820000</v>
      </c>
      <c r="K327" s="6">
        <v>6839000</v>
      </c>
      <c r="L327" s="6">
        <v>3983000</v>
      </c>
      <c r="M327" s="6">
        <v>7680000</v>
      </c>
      <c r="N327" s="6">
        <v>8734000</v>
      </c>
      <c r="O327" s="6">
        <v>5496000</v>
      </c>
      <c r="P327" s="6">
        <v>41954000</v>
      </c>
      <c r="Q327" s="6">
        <v>41033000</v>
      </c>
      <c r="R327" s="6">
        <v>39290000</v>
      </c>
      <c r="S327" s="6">
        <v>36602000</v>
      </c>
      <c r="T327" s="6">
        <v>35667000</v>
      </c>
      <c r="U327" s="6">
        <v>36799000</v>
      </c>
    </row>
    <row r="328" spans="1:21" ht="15">
      <c r="A328" s="2" t="s">
        <v>654</v>
      </c>
      <c r="B328" s="5">
        <v>4232236</v>
      </c>
      <c r="C328" s="2" t="s">
        <v>655</v>
      </c>
      <c r="D328" s="6">
        <v>15536139</v>
      </c>
      <c r="E328" s="6">
        <v>12016461</v>
      </c>
      <c r="F328" s="6">
        <v>13152154</v>
      </c>
      <c r="G328" s="6">
        <v>14249283</v>
      </c>
      <c r="H328" s="6">
        <v>14726797</v>
      </c>
      <c r="I328" s="6">
        <v>13916472</v>
      </c>
      <c r="J328" s="6">
        <v>2546212</v>
      </c>
      <c r="K328" s="6">
        <v>2357440</v>
      </c>
      <c r="L328" s="6">
        <v>1740392</v>
      </c>
      <c r="M328" s="6">
        <v>-801382</v>
      </c>
      <c r="N328" s="6">
        <v>-1848522</v>
      </c>
      <c r="O328" s="6">
        <v>-1179326</v>
      </c>
      <c r="P328" s="6">
        <v>9827592</v>
      </c>
      <c r="Q328" s="6">
        <v>9479651</v>
      </c>
      <c r="R328" s="6">
        <v>8549924</v>
      </c>
      <c r="S328" s="6">
        <v>4843760</v>
      </c>
      <c r="T328" s="6">
        <v>647986</v>
      </c>
      <c r="U328" s="6">
        <v>1279908</v>
      </c>
    </row>
    <row r="329" spans="1:21" ht="15">
      <c r="A329" s="2" t="s">
        <v>656</v>
      </c>
      <c r="B329" s="5">
        <v>4057436</v>
      </c>
      <c r="C329" s="2" t="s">
        <v>657</v>
      </c>
      <c r="D329" s="6">
        <v>16626000</v>
      </c>
      <c r="E329" s="6">
        <v>9039000</v>
      </c>
      <c r="F329" s="6">
        <v>8287000</v>
      </c>
      <c r="G329" s="6">
        <v>8302000</v>
      </c>
      <c r="H329" s="6">
        <v>10979000</v>
      </c>
      <c r="I329" s="6">
        <v>10994000</v>
      </c>
      <c r="J329" s="6">
        <v>2966000</v>
      </c>
      <c r="K329" s="6">
        <v>3492000</v>
      </c>
      <c r="L329" s="6">
        <v>282000</v>
      </c>
      <c r="M329" s="6">
        <v>3044000</v>
      </c>
      <c r="N329" s="6">
        <v>4703000</v>
      </c>
      <c r="O329" s="6">
        <v>1804000</v>
      </c>
      <c r="P329" s="6">
        <v>30713000</v>
      </c>
      <c r="Q329" s="6">
        <v>28130000</v>
      </c>
      <c r="R329" s="6">
        <v>28823000</v>
      </c>
      <c r="S329" s="6">
        <v>31543000</v>
      </c>
      <c r="T329" s="6">
        <v>26989000</v>
      </c>
      <c r="U329" s="6">
        <v>9093000</v>
      </c>
    </row>
    <row r="330" spans="1:21" ht="15">
      <c r="A330" s="2" t="s">
        <v>658</v>
      </c>
      <c r="B330" s="5">
        <v>4121108</v>
      </c>
      <c r="C330" s="2" t="s">
        <v>659</v>
      </c>
      <c r="D330" s="6">
        <v>7249000</v>
      </c>
      <c r="E330" s="6">
        <v>5646802</v>
      </c>
      <c r="F330" s="6">
        <v>5923370</v>
      </c>
      <c r="G330" s="6">
        <v>6796426</v>
      </c>
      <c r="H330" s="6">
        <v>6949000</v>
      </c>
      <c r="I330" s="6">
        <v>7067000</v>
      </c>
      <c r="J330" s="6">
        <v>4139000</v>
      </c>
      <c r="K330" s="6">
        <v>4335000</v>
      </c>
      <c r="L330" s="6">
        <v>7399000</v>
      </c>
      <c r="M330" s="6">
        <v>11568000</v>
      </c>
      <c r="N330" s="6">
        <v>10183368</v>
      </c>
      <c r="O330" s="6">
        <v>2398375</v>
      </c>
      <c r="P330" s="6">
        <v>32494000</v>
      </c>
      <c r="Q330" s="6">
        <v>30734000</v>
      </c>
      <c r="R330" s="6">
        <v>34714000</v>
      </c>
      <c r="S330" s="6">
        <v>41512000</v>
      </c>
      <c r="T330" s="6">
        <v>36483939</v>
      </c>
      <c r="U330" s="6">
        <v>20139658</v>
      </c>
    </row>
    <row r="331" spans="1:21" ht="15">
      <c r="A331" s="2" t="s">
        <v>660</v>
      </c>
      <c r="B331" s="5">
        <v>4094286</v>
      </c>
      <c r="C331" s="2" t="s">
        <v>661</v>
      </c>
      <c r="D331" s="6">
        <v>11412000</v>
      </c>
      <c r="E331" s="6">
        <v>7597000</v>
      </c>
      <c r="F331" s="6">
        <v>11831000</v>
      </c>
      <c r="G331" s="6">
        <v>12031000</v>
      </c>
      <c r="H331" s="6">
        <v>11056000</v>
      </c>
      <c r="I331" s="6">
        <v>9982000</v>
      </c>
      <c r="J331" s="6">
        <v>133230000</v>
      </c>
      <c r="K331" s="6">
        <v>83317000</v>
      </c>
      <c r="L331" s="6">
        <v>34480000</v>
      </c>
      <c r="M331" s="6">
        <v>7121000</v>
      </c>
      <c r="N331" s="6">
        <v>11215000</v>
      </c>
      <c r="O331" s="6">
        <v>5819000</v>
      </c>
      <c r="P331" s="6">
        <v>215938000</v>
      </c>
      <c r="Q331" s="6">
        <v>130497000</v>
      </c>
      <c r="R331" s="6">
        <v>60922000</v>
      </c>
      <c r="S331" s="6">
        <v>26974000</v>
      </c>
      <c r="T331" s="6">
        <v>26914000</v>
      </c>
      <c r="U331" s="6">
        <v>16675000</v>
      </c>
    </row>
    <row r="332" spans="1:21" ht="15">
      <c r="A332" s="2" t="s">
        <v>662</v>
      </c>
      <c r="B332" s="5">
        <v>4094401</v>
      </c>
      <c r="C332" s="2" t="s">
        <v>663</v>
      </c>
      <c r="D332" s="6">
        <v>1095367</v>
      </c>
      <c r="E332" s="6">
        <v>1590051</v>
      </c>
      <c r="F332" s="6">
        <v>1590820</v>
      </c>
      <c r="G332" s="6">
        <v>1007674</v>
      </c>
      <c r="H332" s="6">
        <v>1029264</v>
      </c>
      <c r="I332" s="6">
        <v>1060521</v>
      </c>
      <c r="J332" s="6">
        <v>1814020</v>
      </c>
      <c r="K332" s="6">
        <v>2160869</v>
      </c>
      <c r="L332" s="6">
        <v>1972164</v>
      </c>
      <c r="M332" s="6">
        <v>2308730</v>
      </c>
      <c r="N332" s="6">
        <v>1661396</v>
      </c>
      <c r="O332" s="6">
        <v>1165083</v>
      </c>
      <c r="P332" s="6">
        <v>10438105</v>
      </c>
      <c r="Q332" s="6">
        <v>10687461</v>
      </c>
      <c r="R332" s="6">
        <v>9682899</v>
      </c>
      <c r="S332" s="6">
        <v>10575325</v>
      </c>
      <c r="T332" s="6">
        <v>8966309</v>
      </c>
      <c r="U332" s="6">
        <v>7562791</v>
      </c>
    </row>
    <row r="333" spans="1:21" ht="15">
      <c r="A333" s="2" t="s">
        <v>664</v>
      </c>
      <c r="B333" s="5">
        <v>4203993</v>
      </c>
      <c r="C333" s="2" t="s">
        <v>665</v>
      </c>
      <c r="D333" s="6">
        <v>12511000</v>
      </c>
      <c r="E333" s="6">
        <v>7870000</v>
      </c>
      <c r="F333" s="6">
        <v>10832000</v>
      </c>
      <c r="G333" s="6">
        <v>11443000</v>
      </c>
      <c r="H333" s="6">
        <v>11453000</v>
      </c>
      <c r="I333" s="6">
        <v>11146000</v>
      </c>
      <c r="J333" s="6">
        <v>4053000</v>
      </c>
      <c r="K333" s="6">
        <v>4421000</v>
      </c>
      <c r="L333" s="6">
        <v>4832000</v>
      </c>
      <c r="M333" s="6">
        <v>5016000</v>
      </c>
      <c r="N333" s="6">
        <v>3828000</v>
      </c>
      <c r="O333" s="6">
        <v>2353000</v>
      </c>
      <c r="P333" s="6">
        <v>12269000</v>
      </c>
      <c r="Q333" s="6">
        <v>12614000</v>
      </c>
      <c r="R333" s="6">
        <v>13276000</v>
      </c>
      <c r="S333" s="6">
        <v>13205000</v>
      </c>
      <c r="T333" s="6">
        <v>11063000</v>
      </c>
      <c r="U333" s="6">
        <v>8612000</v>
      </c>
    </row>
    <row r="334" spans="1:21" ht="15">
      <c r="A334" s="2" t="s">
        <v>666</v>
      </c>
      <c r="B334" s="5">
        <v>4010841</v>
      </c>
      <c r="C334" s="2" t="s">
        <v>667</v>
      </c>
      <c r="D334" s="6">
        <v>23351000</v>
      </c>
      <c r="E334" s="6">
        <v>39057000</v>
      </c>
      <c r="F334" s="6">
        <v>31139000</v>
      </c>
      <c r="G334" s="6">
        <v>20765000</v>
      </c>
      <c r="H334" s="6">
        <v>20911000</v>
      </c>
      <c r="I334" s="6">
        <v>26920000</v>
      </c>
      <c r="J334" s="6">
        <v>11255000</v>
      </c>
      <c r="K334" s="6">
        <v>11649000</v>
      </c>
      <c r="L334" s="6">
        <v>11202000</v>
      </c>
      <c r="M334" s="6">
        <v>20591000</v>
      </c>
      <c r="N334" s="6">
        <v>13112000</v>
      </c>
      <c r="O334" s="6">
        <v>6861000</v>
      </c>
      <c r="P334" s="6">
        <v>21593000</v>
      </c>
      <c r="Q334" s="6">
        <v>22019000</v>
      </c>
      <c r="R334" s="6">
        <v>23156000</v>
      </c>
      <c r="S334" s="6">
        <v>36634000</v>
      </c>
      <c r="T334" s="6">
        <v>25956000</v>
      </c>
      <c r="U334" s="6">
        <v>17809000</v>
      </c>
    </row>
    <row r="335" spans="1:21" ht="15">
      <c r="A335" s="2" t="s">
        <v>668</v>
      </c>
      <c r="B335" s="5">
        <v>4298644</v>
      </c>
      <c r="C335" s="2" t="s">
        <v>669</v>
      </c>
      <c r="D335" s="6">
        <v>141395</v>
      </c>
      <c r="E335" s="6">
        <v>206231</v>
      </c>
      <c r="F335" s="6">
        <v>202747</v>
      </c>
      <c r="G335" s="6">
        <v>198063</v>
      </c>
      <c r="H335" s="6">
        <v>200377</v>
      </c>
      <c r="I335" s="6">
        <v>168287</v>
      </c>
      <c r="J335" s="6">
        <v>1725736</v>
      </c>
      <c r="K335" s="6">
        <v>1888576</v>
      </c>
      <c r="L335" s="6">
        <v>1965122</v>
      </c>
      <c r="M335" s="6">
        <v>2116698</v>
      </c>
      <c r="N335" s="6">
        <v>1651501</v>
      </c>
      <c r="O335" s="6">
        <v>1168149</v>
      </c>
      <c r="P335" s="6">
        <v>5496389</v>
      </c>
      <c r="Q335" s="6">
        <v>5814810</v>
      </c>
      <c r="R335" s="6">
        <v>5866152</v>
      </c>
      <c r="S335" s="6">
        <v>6260077</v>
      </c>
      <c r="T335" s="6">
        <v>5256328</v>
      </c>
      <c r="U335" s="6">
        <v>4015129</v>
      </c>
    </row>
    <row r="336" spans="1:21" ht="15">
      <c r="A336" s="2" t="s">
        <v>670</v>
      </c>
      <c r="B336" s="5">
        <v>4070013</v>
      </c>
      <c r="C336" s="2" t="s">
        <v>671</v>
      </c>
      <c r="D336" s="6">
        <v>11268400</v>
      </c>
      <c r="E336" s="6">
        <v>7195700</v>
      </c>
      <c r="F336" s="6">
        <v>6872500</v>
      </c>
      <c r="G336" s="6">
        <v>6702000</v>
      </c>
      <c r="H336" s="6">
        <v>6720800</v>
      </c>
      <c r="I336" s="6">
        <v>7075300</v>
      </c>
      <c r="J336" s="6">
        <v>2793300</v>
      </c>
      <c r="K336" s="6">
        <v>2520300</v>
      </c>
      <c r="L336" s="6">
        <v>2374000</v>
      </c>
      <c r="M336" s="6">
        <v>2358800</v>
      </c>
      <c r="N336" s="6">
        <v>2324200</v>
      </c>
      <c r="O336" s="6">
        <v>1954500</v>
      </c>
      <c r="P336" s="6">
        <v>17271900</v>
      </c>
      <c r="Q336" s="6">
        <v>15689100</v>
      </c>
      <c r="R336" s="6">
        <v>14692200</v>
      </c>
      <c r="S336" s="6">
        <v>14289100</v>
      </c>
      <c r="T336" s="6">
        <v>14289400</v>
      </c>
      <c r="U336" s="6">
        <v>13171100</v>
      </c>
    </row>
    <row r="337" spans="1:21" ht="15">
      <c r="A337" s="2" t="s">
        <v>672</v>
      </c>
      <c r="B337" s="5">
        <v>4133677</v>
      </c>
      <c r="C337" s="2" t="s">
        <v>673</v>
      </c>
      <c r="D337" s="6">
        <v>3253200</v>
      </c>
      <c r="E337" s="6">
        <v>3639200</v>
      </c>
      <c r="F337" s="6">
        <v>3272400</v>
      </c>
      <c r="G337" s="6">
        <v>3512400</v>
      </c>
      <c r="H337" s="6">
        <v>3623800</v>
      </c>
      <c r="I337" s="6">
        <v>3643100</v>
      </c>
      <c r="J337" s="6">
        <v>1755500</v>
      </c>
      <c r="K337" s="6">
        <v>2547000</v>
      </c>
      <c r="L337" s="6">
        <v>3218700</v>
      </c>
      <c r="M337" s="6">
        <v>3355300</v>
      </c>
      <c r="N337" s="6">
        <v>1981800</v>
      </c>
      <c r="O337" s="6">
        <v>1043400</v>
      </c>
      <c r="P337" s="6">
        <v>5995400</v>
      </c>
      <c r="Q337" s="6">
        <v>7082300</v>
      </c>
      <c r="R337" s="6">
        <v>8253000</v>
      </c>
      <c r="S337" s="6">
        <v>8326200</v>
      </c>
      <c r="T337" s="6">
        <v>6739800</v>
      </c>
      <c r="U337" s="6">
        <v>5255000</v>
      </c>
    </row>
    <row r="338" spans="1:21" ht="15">
      <c r="A338" s="2" t="s">
        <v>674</v>
      </c>
      <c r="B338" s="5">
        <v>4010846</v>
      </c>
      <c r="C338" s="2" t="s">
        <v>675</v>
      </c>
      <c r="D338" s="6">
        <v>33053000</v>
      </c>
      <c r="E338" s="6">
        <v>14564994</v>
      </c>
      <c r="F338" s="6">
        <v>13902059</v>
      </c>
      <c r="G338" s="6">
        <v>13701000</v>
      </c>
      <c r="H338" s="6">
        <v>21764000</v>
      </c>
      <c r="I338" s="6">
        <v>32293000</v>
      </c>
      <c r="J338" s="6">
        <v>7336000</v>
      </c>
      <c r="K338" s="6">
        <v>6196000</v>
      </c>
      <c r="L338" s="6">
        <v>4220000</v>
      </c>
      <c r="M338" s="6">
        <v>3433000</v>
      </c>
      <c r="N338" s="6">
        <v>3218000</v>
      </c>
      <c r="O338" s="6">
        <v>2547219</v>
      </c>
      <c r="P338" s="6">
        <v>33629000</v>
      </c>
      <c r="Q338" s="6">
        <v>21698000</v>
      </c>
      <c r="R338" s="6">
        <v>17677000</v>
      </c>
      <c r="S338" s="6">
        <v>22387000</v>
      </c>
      <c r="T338" s="6">
        <v>16540000</v>
      </c>
      <c r="U338" s="6">
        <v>8542242</v>
      </c>
    </row>
    <row r="339" spans="1:21" ht="15">
      <c r="A339" s="2" t="s">
        <v>676</v>
      </c>
      <c r="B339" s="5">
        <v>4041363</v>
      </c>
      <c r="C339" s="2" t="s">
        <v>677</v>
      </c>
      <c r="D339" s="6">
        <v>108952000</v>
      </c>
      <c r="E339" s="6">
        <v>71865000</v>
      </c>
      <c r="F339" s="6">
        <v>84245000</v>
      </c>
      <c r="G339" s="6">
        <v>75859000</v>
      </c>
      <c r="H339" s="6">
        <v>90481000</v>
      </c>
      <c r="I339" s="6">
        <v>94414000</v>
      </c>
      <c r="J339" s="6">
        <v>22310000</v>
      </c>
      <c r="K339" s="6">
        <v>19734000</v>
      </c>
      <c r="L339" s="6">
        <v>19778000</v>
      </c>
      <c r="M339" s="6">
        <v>18958000</v>
      </c>
      <c r="N339" s="6">
        <v>18569000</v>
      </c>
      <c r="O339" s="6">
        <v>17119000</v>
      </c>
      <c r="P339" s="6">
        <v>57399000</v>
      </c>
      <c r="Q339" s="6">
        <v>52961000</v>
      </c>
      <c r="R339" s="6">
        <v>49954000</v>
      </c>
      <c r="S339" s="6">
        <v>42440000</v>
      </c>
      <c r="T339" s="6">
        <v>40479000</v>
      </c>
      <c r="U339" s="6">
        <v>39068000</v>
      </c>
    </row>
    <row r="340" spans="1:21" ht="15">
      <c r="A340" s="2" t="s">
        <v>678</v>
      </c>
      <c r="B340" s="5">
        <v>4930128</v>
      </c>
      <c r="C340" s="2" t="s">
        <v>679</v>
      </c>
      <c r="D340" s="6">
        <v>8491499</v>
      </c>
      <c r="E340" s="6">
        <v>6164686</v>
      </c>
      <c r="F340" s="6">
        <v>5866567</v>
      </c>
      <c r="G340" s="6">
        <v>6545030</v>
      </c>
      <c r="H340" s="6">
        <v>7841005</v>
      </c>
      <c r="I340" s="6">
        <v>7920850</v>
      </c>
      <c r="J340" s="6">
        <v>3971842</v>
      </c>
      <c r="K340" s="6">
        <v>3713549</v>
      </c>
      <c r="L340" s="6">
        <v>3597637</v>
      </c>
      <c r="M340" s="6">
        <v>3320024</v>
      </c>
      <c r="N340" s="6">
        <v>3257985</v>
      </c>
      <c r="O340" s="6">
        <v>2737371</v>
      </c>
      <c r="P340" s="6">
        <v>17781992</v>
      </c>
      <c r="Q340" s="6">
        <v>16708479</v>
      </c>
      <c r="R340" s="6">
        <v>15812250</v>
      </c>
      <c r="S340" s="6">
        <v>14409860</v>
      </c>
      <c r="T340" s="6">
        <v>13327563</v>
      </c>
      <c r="U340" s="6">
        <v>11604493</v>
      </c>
    </row>
    <row r="341" spans="1:21" ht="15">
      <c r="A341" s="2" t="s">
        <v>680</v>
      </c>
      <c r="B341" s="5">
        <v>6331068</v>
      </c>
      <c r="C341" s="2" t="s">
        <v>681</v>
      </c>
      <c r="D341" s="6">
        <v>8511000</v>
      </c>
      <c r="E341" s="6">
        <v>6497000</v>
      </c>
      <c r="F341" s="6">
        <v>7790000</v>
      </c>
      <c r="G341" s="6">
        <v>7210000</v>
      </c>
      <c r="H341" s="6">
        <v>7307000</v>
      </c>
      <c r="I341" s="6">
        <v>8742000</v>
      </c>
      <c r="J341" s="6">
        <v>2551000</v>
      </c>
      <c r="K341" s="6">
        <v>2531000</v>
      </c>
      <c r="L341" s="6">
        <v>2437000</v>
      </c>
      <c r="M341" s="6">
        <v>2287000</v>
      </c>
      <c r="N341" s="6">
        <v>2374000</v>
      </c>
      <c r="O341" s="6">
        <v>2109000</v>
      </c>
      <c r="P341" s="6">
        <v>14431000</v>
      </c>
      <c r="Q341" s="6">
        <v>14261000</v>
      </c>
      <c r="R341" s="6">
        <v>14209000</v>
      </c>
      <c r="S341" s="6">
        <v>13685000</v>
      </c>
      <c r="T341" s="6">
        <v>14298000</v>
      </c>
      <c r="U341" s="6">
        <v>12756000</v>
      </c>
    </row>
    <row r="342" spans="1:21" ht="15">
      <c r="A342" s="2" t="s">
        <v>682</v>
      </c>
      <c r="B342" s="5">
        <v>4001586</v>
      </c>
      <c r="C342" s="2" t="s">
        <v>683</v>
      </c>
      <c r="D342" s="6">
        <v>15784400</v>
      </c>
      <c r="E342" s="6">
        <v>11010700</v>
      </c>
      <c r="F342" s="6">
        <v>10523200</v>
      </c>
      <c r="G342" s="6">
        <v>11599700</v>
      </c>
      <c r="H342" s="6">
        <v>14439500</v>
      </c>
      <c r="I342" s="6">
        <v>16009200</v>
      </c>
      <c r="J342" s="6">
        <v>3423000</v>
      </c>
      <c r="K342" s="6">
        <v>5364700</v>
      </c>
      <c r="L342" s="6">
        <v>6967000</v>
      </c>
      <c r="M342" s="6">
        <v>4569400</v>
      </c>
      <c r="N342" s="6">
        <v>3290000</v>
      </c>
      <c r="O342" s="6">
        <v>2670900</v>
      </c>
      <c r="P342" s="6">
        <v>28444800</v>
      </c>
      <c r="Q342" s="6">
        <v>33663800</v>
      </c>
      <c r="R342" s="6">
        <v>35127400</v>
      </c>
      <c r="S342" s="6">
        <v>28819700</v>
      </c>
      <c r="T342" s="6">
        <v>23522300</v>
      </c>
      <c r="U342" s="6">
        <v>18728500</v>
      </c>
    </row>
    <row r="343" spans="1:21" ht="15">
      <c r="A343" s="2" t="s">
        <v>684</v>
      </c>
      <c r="B343" s="5">
        <v>4062146</v>
      </c>
      <c r="C343" s="2" t="s">
        <v>685</v>
      </c>
      <c r="D343" s="6">
        <v>4364900</v>
      </c>
      <c r="E343" s="6">
        <v>2737900</v>
      </c>
      <c r="F343" s="6">
        <v>2732300</v>
      </c>
      <c r="G343" s="6">
        <v>2793100</v>
      </c>
      <c r="H343" s="6">
        <v>3173200</v>
      </c>
      <c r="I343" s="6">
        <v>2771500</v>
      </c>
      <c r="J343" s="6">
        <v>1900000</v>
      </c>
      <c r="K343" s="6">
        <v>1678000</v>
      </c>
      <c r="L343" s="6">
        <v>1608200</v>
      </c>
      <c r="M343" s="6">
        <v>1933600</v>
      </c>
      <c r="N343" s="6">
        <v>1712200</v>
      </c>
      <c r="O343" s="6">
        <v>1223700</v>
      </c>
      <c r="P343" s="6">
        <v>8989300</v>
      </c>
      <c r="Q343" s="6">
        <v>8383300</v>
      </c>
      <c r="R343" s="6">
        <v>7802400</v>
      </c>
      <c r="S343" s="6">
        <v>8478000</v>
      </c>
      <c r="T343" s="6">
        <v>7730300</v>
      </c>
      <c r="U343" s="6">
        <v>6658200</v>
      </c>
    </row>
    <row r="344" spans="1:21" ht="15">
      <c r="A344" s="2" t="s">
        <v>686</v>
      </c>
      <c r="B344" s="5">
        <v>5148548</v>
      </c>
      <c r="C344" s="2" t="s">
        <v>687</v>
      </c>
      <c r="D344" s="6">
        <v>229338</v>
      </c>
      <c r="E344" s="6">
        <v>456856</v>
      </c>
      <c r="F344" s="6">
        <v>260073</v>
      </c>
      <c r="G344" s="6">
        <v>249404</v>
      </c>
      <c r="H344" s="6">
        <v>229392</v>
      </c>
      <c r="I344" s="6">
        <v>239219</v>
      </c>
      <c r="J344" s="6">
        <v>1440160</v>
      </c>
      <c r="K344" s="6">
        <v>341990</v>
      </c>
      <c r="L344" s="6">
        <v>153320</v>
      </c>
      <c r="M344" s="6">
        <v>-138679</v>
      </c>
      <c r="N344" s="6">
        <v>-396149</v>
      </c>
      <c r="O344" s="6">
        <v>-1159808</v>
      </c>
      <c r="P344" s="6">
        <v>4475446</v>
      </c>
      <c r="Q344" s="6">
        <v>2865507</v>
      </c>
      <c r="R344" s="6">
        <v>2225012</v>
      </c>
      <c r="S344" s="6">
        <v>1905871</v>
      </c>
      <c r="T344" s="6">
        <v>1541889</v>
      </c>
      <c r="U344" s="6">
        <v>1092673</v>
      </c>
    </row>
    <row r="345" spans="1:21" ht="15">
      <c r="A345" s="2" t="s">
        <v>688</v>
      </c>
      <c r="B345" s="5">
        <v>4318651</v>
      </c>
      <c r="C345" s="2" t="s">
        <v>689</v>
      </c>
      <c r="D345" s="6">
        <v>417400</v>
      </c>
      <c r="E345" s="6">
        <v>3420700</v>
      </c>
      <c r="F345" s="6">
        <v>3539400</v>
      </c>
      <c r="G345" s="6">
        <v>3952900</v>
      </c>
      <c r="H345" s="6">
        <v>2270700</v>
      </c>
      <c r="I345" s="6">
        <v>1344400</v>
      </c>
      <c r="J345" s="6">
        <v>1329500</v>
      </c>
      <c r="K345" s="6">
        <v>1094400</v>
      </c>
      <c r="L345" s="6">
        <v>590000</v>
      </c>
      <c r="M345" s="6">
        <v>31400</v>
      </c>
      <c r="N345" s="6">
        <v>-91500</v>
      </c>
      <c r="O345" s="6">
        <v>-4200</v>
      </c>
      <c r="P345" s="6">
        <v>9221500</v>
      </c>
      <c r="Q345" s="6">
        <v>8027500</v>
      </c>
      <c r="R345" s="6">
        <v>6892700</v>
      </c>
      <c r="S345" s="6">
        <v>5501500</v>
      </c>
      <c r="T345" s="6">
        <v>4256100</v>
      </c>
      <c r="U345" s="6">
        <v>3408400</v>
      </c>
    </row>
    <row r="346" spans="1:21" ht="15">
      <c r="A346" s="2" t="s">
        <v>690</v>
      </c>
      <c r="B346" s="5">
        <v>4074329</v>
      </c>
      <c r="C346" s="2" t="s">
        <v>691</v>
      </c>
      <c r="D346" s="6">
        <v>15092000</v>
      </c>
      <c r="E346" s="6">
        <v>21622000</v>
      </c>
      <c r="F346" s="6">
        <v>19632000</v>
      </c>
      <c r="G346" s="6">
        <v>17566000</v>
      </c>
      <c r="H346" s="6">
        <v>16116000</v>
      </c>
      <c r="I346" s="6">
        <v>15833000</v>
      </c>
      <c r="J346" s="6">
        <v>2681000</v>
      </c>
      <c r="K346" s="6">
        <v>2917000</v>
      </c>
      <c r="L346" s="6">
        <v>2237000</v>
      </c>
      <c r="M346" s="6">
        <v>3211000</v>
      </c>
      <c r="N346" s="6">
        <v>4391000</v>
      </c>
      <c r="O346" s="6">
        <v>5058000</v>
      </c>
      <c r="P346" s="6">
        <v>28891000</v>
      </c>
      <c r="Q346" s="6">
        <v>29213000</v>
      </c>
      <c r="R346" s="6">
        <v>29652000</v>
      </c>
      <c r="S346" s="6">
        <v>30154000</v>
      </c>
      <c r="T346" s="6">
        <v>28586000</v>
      </c>
      <c r="U346" s="6">
        <v>25285000</v>
      </c>
    </row>
    <row r="347" spans="1:21" ht="15">
      <c r="A347" s="2" t="s">
        <v>692</v>
      </c>
      <c r="B347" s="5">
        <v>4004412</v>
      </c>
      <c r="C347" s="2" t="s">
        <v>693</v>
      </c>
      <c r="D347" s="6">
        <v>9486000</v>
      </c>
      <c r="E347" s="6">
        <v>8601558</v>
      </c>
      <c r="F347" s="6">
        <v>6718974</v>
      </c>
      <c r="G347" s="6">
        <v>11626761</v>
      </c>
      <c r="H347" s="6">
        <v>12797427</v>
      </c>
      <c r="I347" s="6">
        <v>10794000</v>
      </c>
      <c r="J347" s="6">
        <v>5116000</v>
      </c>
      <c r="K347" s="6">
        <v>4940000</v>
      </c>
      <c r="L347" s="6">
        <v>4197000</v>
      </c>
      <c r="M347" s="6">
        <v>3393756</v>
      </c>
      <c r="N347" s="6">
        <v>2964377</v>
      </c>
      <c r="O347" s="6">
        <v>2431500</v>
      </c>
      <c r="P347" s="6">
        <v>19850000</v>
      </c>
      <c r="Q347" s="6">
        <v>19930000</v>
      </c>
      <c r="R347" s="6">
        <v>19065000</v>
      </c>
      <c r="S347" s="6">
        <v>15861608</v>
      </c>
      <c r="T347" s="6">
        <v>14347640</v>
      </c>
      <c r="U347" s="6">
        <v>13695520</v>
      </c>
    </row>
    <row r="348" spans="1:21" ht="15">
      <c r="A348" s="2" t="s">
        <v>694</v>
      </c>
      <c r="B348" s="5">
        <v>4070114</v>
      </c>
      <c r="C348" s="2" t="s">
        <v>695</v>
      </c>
      <c r="D348" s="6">
        <v>5044800</v>
      </c>
      <c r="E348" s="6">
        <v>936000</v>
      </c>
      <c r="F348" s="6">
        <v>926000</v>
      </c>
      <c r="G348" s="6">
        <v>906300</v>
      </c>
      <c r="H348" s="6">
        <v>886000</v>
      </c>
      <c r="I348" s="6">
        <v>885500</v>
      </c>
      <c r="J348" s="6">
        <v>2538800</v>
      </c>
      <c r="K348" s="6">
        <v>2350600</v>
      </c>
      <c r="L348" s="6">
        <v>2209700</v>
      </c>
      <c r="M348" s="6">
        <v>2031800</v>
      </c>
      <c r="N348" s="6">
        <v>1652700</v>
      </c>
      <c r="O348" s="6">
        <v>1670200</v>
      </c>
      <c r="P348" s="6">
        <v>5571700</v>
      </c>
      <c r="Q348" s="6">
        <v>5278300</v>
      </c>
      <c r="R348" s="6">
        <v>5007100</v>
      </c>
      <c r="S348" s="6">
        <v>4611700</v>
      </c>
      <c r="T348" s="6">
        <v>4056800</v>
      </c>
      <c r="U348" s="6">
        <v>4040500</v>
      </c>
    </row>
    <row r="349" spans="1:21" ht="15">
      <c r="A349" s="2" t="s">
        <v>696</v>
      </c>
      <c r="B349" s="5">
        <v>4580296</v>
      </c>
      <c r="C349" s="2" t="s">
        <v>697</v>
      </c>
      <c r="D349" s="6">
        <v>12296000</v>
      </c>
      <c r="E349" s="6">
        <v>9725000</v>
      </c>
      <c r="F349" s="6">
        <v>9810000</v>
      </c>
      <c r="G349" s="6">
        <v>11555000</v>
      </c>
      <c r="H349" s="6">
        <v>11844000</v>
      </c>
      <c r="I349" s="6">
        <v>11857000</v>
      </c>
      <c r="J349" s="6">
        <v>6649000</v>
      </c>
      <c r="K349" s="6">
        <v>6166000</v>
      </c>
      <c r="L349" s="6">
        <v>5442000</v>
      </c>
      <c r="M349" s="6">
        <v>4930000</v>
      </c>
      <c r="N349" s="6">
        <v>5214000</v>
      </c>
      <c r="O349" s="6">
        <v>4295000</v>
      </c>
      <c r="P349" s="6">
        <v>33172000</v>
      </c>
      <c r="Q349" s="6">
        <v>31797000</v>
      </c>
      <c r="R349" s="6">
        <v>29771000</v>
      </c>
      <c r="S349" s="6">
        <v>27518000</v>
      </c>
      <c r="T349" s="6">
        <v>25371000</v>
      </c>
      <c r="U349" s="6">
        <v>21454000</v>
      </c>
    </row>
    <row r="350" spans="1:21" ht="15">
      <c r="A350" s="2" t="s">
        <v>698</v>
      </c>
      <c r="B350" s="5">
        <v>4765589</v>
      </c>
      <c r="C350" s="2" t="s">
        <v>699</v>
      </c>
      <c r="D350" s="6">
        <v>1766100</v>
      </c>
      <c r="E350" s="6">
        <v>926800</v>
      </c>
      <c r="F350" s="6">
        <v>982300</v>
      </c>
      <c r="G350" s="6">
        <v>2399000</v>
      </c>
      <c r="H350" s="6">
        <v>2093600</v>
      </c>
      <c r="I350" s="6">
        <v>1767100</v>
      </c>
      <c r="J350" s="6">
        <v>1091100</v>
      </c>
      <c r="K350" s="6">
        <v>1024000</v>
      </c>
      <c r="L350" s="6">
        <v>843600</v>
      </c>
      <c r="M350" s="6">
        <v>742200</v>
      </c>
      <c r="N350" s="6">
        <v>714400</v>
      </c>
      <c r="O350" s="6">
        <v>527600</v>
      </c>
      <c r="P350" s="6">
        <v>4176000</v>
      </c>
      <c r="Q350" s="6">
        <v>4082800</v>
      </c>
      <c r="R350" s="6">
        <v>4104500</v>
      </c>
      <c r="S350" s="6">
        <v>4121800</v>
      </c>
      <c r="T350" s="6">
        <v>3764800</v>
      </c>
      <c r="U350" s="6">
        <v>3017800</v>
      </c>
    </row>
    <row r="351" spans="1:21" ht="15">
      <c r="A351" s="2" t="s">
        <v>700</v>
      </c>
      <c r="B351" s="5">
        <v>4004166</v>
      </c>
      <c r="C351" s="2" t="s">
        <v>701</v>
      </c>
      <c r="D351" s="6">
        <v>53028000</v>
      </c>
      <c r="E351" s="6">
        <v>45843000</v>
      </c>
      <c r="F351" s="6">
        <v>42378000</v>
      </c>
      <c r="G351" s="6">
        <v>41487000</v>
      </c>
      <c r="H351" s="6">
        <v>47061000</v>
      </c>
      <c r="I351" s="6">
        <v>47751000</v>
      </c>
      <c r="J351" s="6">
        <v>18174000</v>
      </c>
      <c r="K351" s="6">
        <v>17842000</v>
      </c>
      <c r="L351" s="6">
        <v>16785000</v>
      </c>
      <c r="M351" s="6">
        <v>14950000</v>
      </c>
      <c r="N351" s="6">
        <v>14433000</v>
      </c>
      <c r="O351" s="6">
        <v>13327000</v>
      </c>
      <c r="P351" s="6">
        <v>93925000</v>
      </c>
      <c r="Q351" s="6">
        <v>91854000</v>
      </c>
      <c r="R351" s="6">
        <v>91471000</v>
      </c>
      <c r="S351" s="6">
        <v>86392000</v>
      </c>
      <c r="T351" s="6">
        <v>79474000</v>
      </c>
      <c r="U351" s="6">
        <v>70372000</v>
      </c>
    </row>
    <row r="352" spans="1:21" ht="15">
      <c r="A352" s="2" t="s">
        <v>702</v>
      </c>
      <c r="B352" s="5">
        <v>3009080</v>
      </c>
      <c r="C352" s="2" t="s">
        <v>703</v>
      </c>
      <c r="D352" s="6">
        <v>67647000</v>
      </c>
      <c r="E352" s="6">
        <v>41264000</v>
      </c>
      <c r="F352" s="6">
        <v>41395000</v>
      </c>
      <c r="G352" s="6">
        <v>39377000</v>
      </c>
      <c r="H352" s="6">
        <v>75332000</v>
      </c>
      <c r="I352" s="6">
        <v>67418000</v>
      </c>
      <c r="J352" s="6">
        <v>25718000</v>
      </c>
      <c r="K352" s="6">
        <v>22551000</v>
      </c>
      <c r="L352" s="6">
        <v>12575000</v>
      </c>
      <c r="M352" s="6">
        <v>44871000</v>
      </c>
      <c r="N352" s="6">
        <v>32084000</v>
      </c>
      <c r="O352" s="6">
        <v>14455000</v>
      </c>
      <c r="P352" s="6">
        <v>62579000</v>
      </c>
      <c r="Q352" s="6">
        <v>63627000</v>
      </c>
      <c r="R352" s="6">
        <v>59554000</v>
      </c>
      <c r="S352" s="6">
        <v>101175000</v>
      </c>
      <c r="T352" s="6">
        <v>81288000</v>
      </c>
      <c r="U352" s="6">
        <v>41651000</v>
      </c>
    </row>
    <row r="353" spans="1:21" ht="15">
      <c r="A353" s="2" t="s">
        <v>704</v>
      </c>
      <c r="B353" s="5">
        <v>4057057</v>
      </c>
      <c r="C353" s="2" t="s">
        <v>705</v>
      </c>
      <c r="D353" s="6">
        <v>61335000</v>
      </c>
      <c r="E353" s="6">
        <v>42604000</v>
      </c>
      <c r="F353" s="6">
        <v>46168000</v>
      </c>
      <c r="G353" s="6">
        <v>53539000</v>
      </c>
      <c r="H353" s="6">
        <v>57733000</v>
      </c>
      <c r="I353" s="6">
        <v>58343000</v>
      </c>
      <c r="J353" s="6">
        <v>9979000</v>
      </c>
      <c r="K353" s="6">
        <v>9313000</v>
      </c>
      <c r="L353" s="6">
        <v>7186000</v>
      </c>
      <c r="M353" s="6">
        <v>6994000</v>
      </c>
      <c r="N353" s="6">
        <v>6567000</v>
      </c>
      <c r="O353" s="6">
        <v>6303000</v>
      </c>
      <c r="P353" s="6">
        <v>24935000</v>
      </c>
      <c r="Q353" s="6">
        <v>24419000</v>
      </c>
      <c r="R353" s="6">
        <v>24428000</v>
      </c>
      <c r="S353" s="6">
        <v>21680000</v>
      </c>
      <c r="T353" s="6">
        <v>20642000</v>
      </c>
      <c r="U353" s="6">
        <v>18469000</v>
      </c>
    </row>
    <row r="354" spans="1:21" ht="15">
      <c r="A354" s="2" t="s">
        <v>706</v>
      </c>
      <c r="B354" s="5">
        <v>4913068</v>
      </c>
      <c r="C354" s="2" t="s">
        <v>707</v>
      </c>
      <c r="D354" s="6">
        <v>49595000</v>
      </c>
      <c r="E354" s="6">
        <v>32243000</v>
      </c>
      <c r="F354" s="6">
        <v>28342000</v>
      </c>
      <c r="G354" s="6">
        <v>43820000</v>
      </c>
      <c r="H354" s="6">
        <v>48658000</v>
      </c>
      <c r="I354" s="6">
        <v>46352000</v>
      </c>
      <c r="J354" s="6">
        <v>18722000</v>
      </c>
      <c r="K354" s="6">
        <v>15002000</v>
      </c>
      <c r="L354" s="6">
        <v>14628000</v>
      </c>
      <c r="M354" s="6">
        <v>13885000</v>
      </c>
      <c r="N354" s="6">
        <v>14074000</v>
      </c>
      <c r="O354" s="6">
        <v>12701000</v>
      </c>
      <c r="P354" s="6">
        <v>40648000</v>
      </c>
      <c r="Q354" s="6">
        <v>37878000</v>
      </c>
      <c r="R354" s="6">
        <v>35174000</v>
      </c>
      <c r="S354" s="6">
        <v>31762000</v>
      </c>
      <c r="T354" s="6">
        <v>31405000</v>
      </c>
      <c r="U354" s="6">
        <v>28694000</v>
      </c>
    </row>
    <row r="355" spans="1:21" ht="15">
      <c r="A355" s="2" t="s">
        <v>708</v>
      </c>
      <c r="B355" s="5">
        <v>4095021</v>
      </c>
      <c r="C355" s="2" t="s">
        <v>709</v>
      </c>
      <c r="D355" s="6">
        <v>21586000</v>
      </c>
      <c r="E355" s="6">
        <v>17115000</v>
      </c>
      <c r="F355" s="6">
        <v>15516000</v>
      </c>
      <c r="G355" s="6">
        <v>18217000</v>
      </c>
      <c r="H355" s="6">
        <v>20511000</v>
      </c>
      <c r="I355" s="6">
        <v>21417000</v>
      </c>
      <c r="J355" s="6">
        <v>6672000</v>
      </c>
      <c r="K355" s="6">
        <v>4161000</v>
      </c>
      <c r="L355" s="6">
        <v>10212000</v>
      </c>
      <c r="M355" s="6">
        <v>11483000</v>
      </c>
      <c r="N355" s="6">
        <v>2083000</v>
      </c>
      <c r="O355" s="6">
        <v>-161000</v>
      </c>
      <c r="P355" s="6">
        <v>132376000</v>
      </c>
      <c r="Q355" s="6">
        <v>143153000</v>
      </c>
      <c r="R355" s="6">
        <v>147399000</v>
      </c>
      <c r="S355" s="6">
        <v>169990000</v>
      </c>
      <c r="T355" s="6">
        <v>111476000</v>
      </c>
      <c r="U355" s="6">
        <v>64129000</v>
      </c>
    </row>
    <row r="356" spans="1:21" ht="15">
      <c r="A356" s="2" t="s">
        <v>710</v>
      </c>
      <c r="B356" s="5">
        <v>4056951</v>
      </c>
      <c r="C356" s="2" t="s">
        <v>711</v>
      </c>
      <c r="D356" s="6">
        <v>14299632</v>
      </c>
      <c r="E356" s="6">
        <v>6919387</v>
      </c>
      <c r="F356" s="6">
        <v>8184579</v>
      </c>
      <c r="G356" s="6">
        <v>8877148</v>
      </c>
      <c r="H356" s="6">
        <v>10303194</v>
      </c>
      <c r="I356" s="6">
        <v>11048342</v>
      </c>
      <c r="J356" s="6">
        <v>2049665</v>
      </c>
      <c r="K356" s="6">
        <v>2017117</v>
      </c>
      <c r="L356" s="6">
        <v>1719424</v>
      </c>
      <c r="M356" s="6">
        <v>1648212</v>
      </c>
      <c r="N356" s="6">
        <v>1636992</v>
      </c>
      <c r="O356" s="6">
        <v>1530746</v>
      </c>
      <c r="P356" s="6">
        <v>5339939</v>
      </c>
      <c r="Q356" s="6">
        <v>5124915</v>
      </c>
      <c r="R356" s="6">
        <v>4695991</v>
      </c>
      <c r="S356" s="6">
        <v>4324385</v>
      </c>
      <c r="T356" s="6">
        <v>3803835</v>
      </c>
      <c r="U356" s="6">
        <v>3586982</v>
      </c>
    </row>
    <row r="357" spans="1:21" ht="15">
      <c r="A357" s="2" t="s">
        <v>712</v>
      </c>
      <c r="B357" s="5">
        <v>4104752</v>
      </c>
      <c r="C357" s="2" t="s">
        <v>713</v>
      </c>
      <c r="D357" s="6">
        <v>1535031</v>
      </c>
      <c r="E357" s="6">
        <v>636153</v>
      </c>
      <c r="F357" s="6">
        <v>1430994</v>
      </c>
      <c r="G357" s="6">
        <v>1660825</v>
      </c>
      <c r="H357" s="6">
        <v>1364484</v>
      </c>
      <c r="I357" s="6">
        <v>1271923</v>
      </c>
      <c r="J357" s="6">
        <v>631167</v>
      </c>
      <c r="K357" s="6">
        <v>661788</v>
      </c>
      <c r="L357" s="6">
        <v>786502</v>
      </c>
      <c r="M357" s="6">
        <v>1064569</v>
      </c>
      <c r="N357" s="6">
        <v>862371</v>
      </c>
      <c r="O357" s="6">
        <v>499938</v>
      </c>
      <c r="P357" s="6">
        <v>5289396</v>
      </c>
      <c r="Q357" s="6">
        <v>5310953</v>
      </c>
      <c r="R357" s="6">
        <v>5541595</v>
      </c>
      <c r="S357" s="6">
        <v>6179727</v>
      </c>
      <c r="T357" s="6">
        <v>5295584</v>
      </c>
      <c r="U357" s="6">
        <v>3936623</v>
      </c>
    </row>
    <row r="358" spans="1:21" ht="15">
      <c r="A358" s="2" t="s">
        <v>714</v>
      </c>
      <c r="B358" s="5">
        <v>4062397</v>
      </c>
      <c r="C358" s="2" t="s">
        <v>715</v>
      </c>
      <c r="D358" s="6">
        <v>7902000</v>
      </c>
      <c r="E358" s="6">
        <v>6606000</v>
      </c>
      <c r="F358" s="6">
        <v>7466000</v>
      </c>
      <c r="G358" s="6">
        <v>7657000</v>
      </c>
      <c r="H358" s="6">
        <v>6613000</v>
      </c>
      <c r="I358" s="6">
        <v>6411000</v>
      </c>
      <c r="J358" s="6">
        <v>2652000</v>
      </c>
      <c r="K358" s="6">
        <v>2736000</v>
      </c>
      <c r="L358" s="6">
        <v>2700000</v>
      </c>
      <c r="M358" s="6">
        <v>2178000</v>
      </c>
      <c r="N358" s="6">
        <v>2312000</v>
      </c>
      <c r="O358" s="6">
        <v>2298000</v>
      </c>
      <c r="P358" s="6">
        <v>15875000</v>
      </c>
      <c r="Q358" s="6">
        <v>15845000</v>
      </c>
      <c r="R358" s="6">
        <v>16242000</v>
      </c>
      <c r="S358" s="6">
        <v>15614000</v>
      </c>
      <c r="T358" s="6">
        <v>16802000</v>
      </c>
      <c r="U358" s="6">
        <v>13834000</v>
      </c>
    </row>
    <row r="359" spans="1:21" ht="15">
      <c r="A359" s="2" t="s">
        <v>716</v>
      </c>
      <c r="B359" s="5">
        <v>4057058</v>
      </c>
      <c r="C359" s="2" t="s">
        <v>717</v>
      </c>
      <c r="D359" s="6">
        <v>19516000</v>
      </c>
      <c r="E359" s="6">
        <v>15946000</v>
      </c>
      <c r="F359" s="6">
        <v>11289000</v>
      </c>
      <c r="G359" s="6">
        <v>14295000</v>
      </c>
      <c r="H359" s="6">
        <v>15668000</v>
      </c>
      <c r="I359" s="6">
        <v>16863000</v>
      </c>
      <c r="J359" s="6">
        <v>3545000</v>
      </c>
      <c r="K359" s="6">
        <v>3152000</v>
      </c>
      <c r="L359" s="6">
        <v>2916000</v>
      </c>
      <c r="M359" s="6">
        <v>2560000</v>
      </c>
      <c r="N359" s="6">
        <v>2603000</v>
      </c>
      <c r="O359" s="6">
        <v>2664000</v>
      </c>
      <c r="P359" s="6">
        <v>9042000</v>
      </c>
      <c r="Q359" s="6">
        <v>8462000</v>
      </c>
      <c r="R359" s="6">
        <v>8312000</v>
      </c>
      <c r="S359" s="6">
        <v>7902000</v>
      </c>
      <c r="T359" s="6">
        <v>5783000</v>
      </c>
      <c r="U359" s="6">
        <v>5474000</v>
      </c>
    </row>
    <row r="360" spans="1:21" ht="15">
      <c r="A360" s="2" t="s">
        <v>718</v>
      </c>
      <c r="B360" s="5">
        <v>110230</v>
      </c>
      <c r="C360" s="2" t="s">
        <v>719</v>
      </c>
      <c r="D360" s="6">
        <v>4326400</v>
      </c>
      <c r="E360" s="6">
        <v>4706200</v>
      </c>
      <c r="F360" s="6">
        <v>4696700</v>
      </c>
      <c r="G360" s="6">
        <v>4902200</v>
      </c>
      <c r="H360" s="6">
        <v>4599300</v>
      </c>
      <c r="I360" s="6">
        <v>4657500</v>
      </c>
      <c r="J360" s="6">
        <v>1730500</v>
      </c>
      <c r="K360" s="6">
        <v>2176100</v>
      </c>
      <c r="L360" s="6">
        <v>1040600</v>
      </c>
      <c r="M360" s="6">
        <v>6408200</v>
      </c>
      <c r="N360" s="6">
        <v>2284500</v>
      </c>
      <c r="O360" s="6">
        <v>1945400</v>
      </c>
      <c r="P360" s="6">
        <v>15625500</v>
      </c>
      <c r="Q360" s="6">
        <v>16127700</v>
      </c>
      <c r="R360" s="6">
        <v>13665800</v>
      </c>
      <c r="S360" s="6">
        <v>17536100</v>
      </c>
      <c r="T360" s="6">
        <v>14427800</v>
      </c>
      <c r="U360" s="6">
        <v>14741700</v>
      </c>
    </row>
    <row r="361" spans="1:21" ht="15">
      <c r="A361" s="2" t="s">
        <v>720</v>
      </c>
      <c r="B361" s="5">
        <v>103146</v>
      </c>
      <c r="C361" s="2" t="s">
        <v>721</v>
      </c>
      <c r="D361" s="6">
        <v>35680534</v>
      </c>
      <c r="E361" s="6">
        <v>17336197</v>
      </c>
      <c r="F361" s="6">
        <v>18163499</v>
      </c>
      <c r="G361" s="6">
        <v>24514801</v>
      </c>
      <c r="H361" s="6">
        <v>29657062</v>
      </c>
      <c r="I361" s="6">
        <v>31494568</v>
      </c>
      <c r="J361" s="6">
        <v>6442861</v>
      </c>
      <c r="K361" s="6">
        <v>6032183</v>
      </c>
      <c r="L361" s="6">
        <v>5876601</v>
      </c>
      <c r="M361" s="6">
        <v>4404051</v>
      </c>
      <c r="N361" s="6">
        <v>3599606</v>
      </c>
      <c r="O361" s="6">
        <v>3261146</v>
      </c>
      <c r="P361" s="6">
        <v>9192658</v>
      </c>
      <c r="Q361" s="6">
        <v>8555233</v>
      </c>
      <c r="R361" s="6">
        <v>8330696</v>
      </c>
      <c r="S361" s="6">
        <v>6284564</v>
      </c>
      <c r="T361" s="6">
        <v>5163695</v>
      </c>
      <c r="U361" s="6">
        <v>4736105</v>
      </c>
    </row>
    <row r="362" spans="1:21" ht="15">
      <c r="A362" s="2" t="s">
        <v>722</v>
      </c>
      <c r="B362" s="5">
        <v>4072932</v>
      </c>
      <c r="C362" s="2" t="s">
        <v>723</v>
      </c>
      <c r="D362" s="6">
        <v>44292000</v>
      </c>
      <c r="E362" s="6">
        <v>35852000</v>
      </c>
      <c r="F362" s="6">
        <v>34486000</v>
      </c>
      <c r="G362" s="6">
        <v>34116000</v>
      </c>
      <c r="H362" s="6">
        <v>33718000</v>
      </c>
      <c r="I362" s="6">
        <v>41023000</v>
      </c>
      <c r="J362" s="6">
        <v>5243000</v>
      </c>
      <c r="K362" s="6">
        <v>3384000</v>
      </c>
      <c r="L362" s="6">
        <v>3469333.3330000001</v>
      </c>
      <c r="M362" s="6">
        <v>-3162000</v>
      </c>
      <c r="N362" s="6">
        <v>12039000</v>
      </c>
      <c r="O362" s="6">
        <v>199000</v>
      </c>
      <c r="P362" s="6">
        <v>61233000</v>
      </c>
      <c r="Q362" s="6">
        <v>70196000</v>
      </c>
      <c r="R362" s="6">
        <v>54168000</v>
      </c>
      <c r="S362" s="6">
        <v>54583000</v>
      </c>
      <c r="T362" s="6">
        <v>71184000</v>
      </c>
      <c r="U362" s="6">
        <v>57091000</v>
      </c>
    </row>
    <row r="363" spans="1:21" ht="15">
      <c r="A363" s="2" t="s">
        <v>724</v>
      </c>
      <c r="B363" s="5">
        <v>4391244</v>
      </c>
      <c r="C363" s="2" t="s">
        <v>725</v>
      </c>
      <c r="D363" s="6">
        <v>1369867</v>
      </c>
      <c r="E363" s="6">
        <v>1220337</v>
      </c>
      <c r="F363" s="6">
        <v>1648270</v>
      </c>
      <c r="G363" s="6">
        <v>1540203</v>
      </c>
      <c r="H363" s="6">
        <v>1888977</v>
      </c>
      <c r="I363" s="6">
        <v>1930326</v>
      </c>
      <c r="J363" s="6">
        <v>1110579</v>
      </c>
      <c r="K363" s="6">
        <v>699093</v>
      </c>
      <c r="L363" s="6">
        <v>582648</v>
      </c>
      <c r="M363" s="6">
        <v>586313</v>
      </c>
      <c r="N363" s="6">
        <v>482015</v>
      </c>
      <c r="O363" s="6">
        <v>331798</v>
      </c>
      <c r="P363" s="6">
        <v>2739226</v>
      </c>
      <c r="Q363" s="6">
        <v>2298472</v>
      </c>
      <c r="R363" s="6">
        <v>2097053</v>
      </c>
      <c r="S363" s="6">
        <v>1933347</v>
      </c>
      <c r="T363" s="6">
        <v>1807159</v>
      </c>
      <c r="U363" s="6">
        <v>1458415</v>
      </c>
    </row>
    <row r="364" spans="1:21" ht="15">
      <c r="A364" s="2" t="s">
        <v>726</v>
      </c>
      <c r="B364" s="5">
        <v>4050911</v>
      </c>
      <c r="C364" s="2" t="s">
        <v>727</v>
      </c>
      <c r="D364" s="6">
        <v>24230000</v>
      </c>
      <c r="E364" s="6">
        <v>17529000</v>
      </c>
      <c r="F364" s="6">
        <v>19662000</v>
      </c>
      <c r="G364" s="6">
        <v>20467000</v>
      </c>
      <c r="H364" s="6">
        <v>20433000</v>
      </c>
      <c r="I364" s="6">
        <v>22889000</v>
      </c>
      <c r="J364" s="6">
        <v>4504000</v>
      </c>
      <c r="K364" s="6">
        <v>3799000</v>
      </c>
      <c r="L364" s="6">
        <v>4791000</v>
      </c>
      <c r="M364" s="6">
        <v>3163000</v>
      </c>
      <c r="N364" s="6">
        <v>3525000</v>
      </c>
      <c r="O364" s="6">
        <v>3865000</v>
      </c>
      <c r="P364" s="6">
        <v>12168000</v>
      </c>
      <c r="Q364" s="6">
        <v>10290000</v>
      </c>
      <c r="R364" s="6">
        <v>11237000</v>
      </c>
      <c r="S364" s="6">
        <v>9800000</v>
      </c>
      <c r="T364" s="6">
        <v>9722000</v>
      </c>
      <c r="U364" s="6">
        <v>9603000</v>
      </c>
    </row>
    <row r="365" spans="1:21" ht="15">
      <c r="A365" s="2" t="s">
        <v>728</v>
      </c>
      <c r="B365" s="5">
        <v>103016</v>
      </c>
      <c r="C365" s="2" t="s">
        <v>729</v>
      </c>
      <c r="D365" s="6">
        <v>10253881</v>
      </c>
      <c r="E365" s="6">
        <v>2544992</v>
      </c>
      <c r="F365" s="6">
        <v>7475279</v>
      </c>
      <c r="G365" s="6">
        <v>6870826</v>
      </c>
      <c r="H365" s="6">
        <v>9103277</v>
      </c>
      <c r="I365" s="6">
        <v>9353034</v>
      </c>
      <c r="J365" s="6">
        <v>3406733</v>
      </c>
      <c r="K365" s="6">
        <v>3335253</v>
      </c>
      <c r="L365" s="6">
        <v>3302279</v>
      </c>
      <c r="M365" s="6">
        <v>3142821</v>
      </c>
      <c r="N365" s="6">
        <v>2638430</v>
      </c>
      <c r="O365" s="6">
        <v>2048130</v>
      </c>
      <c r="P365" s="6">
        <v>4833717</v>
      </c>
      <c r="Q365" s="6">
        <v>4715437</v>
      </c>
      <c r="R365" s="6">
        <v>4545587</v>
      </c>
      <c r="S365" s="6">
        <v>4289144</v>
      </c>
      <c r="T365" s="6">
        <v>3647917</v>
      </c>
      <c r="U365" s="6">
        <v>2995565</v>
      </c>
    </row>
    <row r="366" spans="1:21" ht="15">
      <c r="A366" s="2" t="s">
        <v>730</v>
      </c>
      <c r="B366" s="5">
        <v>4006246</v>
      </c>
      <c r="C366" s="2" t="s">
        <v>731</v>
      </c>
      <c r="D366" s="6">
        <v>2396206</v>
      </c>
      <c r="E366" s="6">
        <v>3340677</v>
      </c>
      <c r="F366" s="6">
        <v>2835328</v>
      </c>
      <c r="G366" s="6">
        <v>2811636</v>
      </c>
      <c r="H366" s="6">
        <v>2672164</v>
      </c>
      <c r="I366" s="6">
        <v>2382178</v>
      </c>
      <c r="J366" s="6">
        <v>3189655</v>
      </c>
      <c r="K366" s="6">
        <v>4005394</v>
      </c>
      <c r="L366" s="6">
        <v>3507270</v>
      </c>
      <c r="M366" s="6">
        <v>3524194</v>
      </c>
      <c r="N366" s="6">
        <v>2622616</v>
      </c>
      <c r="O366" s="6">
        <v>1830801</v>
      </c>
      <c r="P366" s="6">
        <v>17311953</v>
      </c>
      <c r="Q366" s="6">
        <v>17946950</v>
      </c>
      <c r="R366" s="6">
        <v>16061578</v>
      </c>
      <c r="S366" s="6">
        <v>16002979</v>
      </c>
      <c r="T366" s="6">
        <v>13736995</v>
      </c>
      <c r="U366" s="6">
        <v>11036082</v>
      </c>
    </row>
    <row r="367" spans="1:21" ht="15">
      <c r="A367" s="2" t="s">
        <v>732</v>
      </c>
      <c r="B367" s="5">
        <v>138753722</v>
      </c>
      <c r="C367" s="2" t="s">
        <v>733</v>
      </c>
      <c r="D367" s="6">
        <v>4525000</v>
      </c>
      <c r="E367" s="7" t="s">
        <v>61</v>
      </c>
      <c r="F367" s="7" t="s">
        <v>61</v>
      </c>
      <c r="G367" s="7" t="s">
        <v>61</v>
      </c>
      <c r="H367" s="6">
        <v>169000</v>
      </c>
      <c r="I367" s="6">
        <v>130000</v>
      </c>
      <c r="J367" s="6">
        <v>1397000</v>
      </c>
      <c r="K367" s="6">
        <v>1265000</v>
      </c>
      <c r="L367" s="6">
        <v>1058000</v>
      </c>
      <c r="M367" s="6">
        <v>1452000</v>
      </c>
      <c r="N367" s="7" t="s">
        <v>61</v>
      </c>
      <c r="O367" s="7" t="s">
        <v>61</v>
      </c>
      <c r="P367" s="6">
        <v>4754000</v>
      </c>
      <c r="Q367" s="6">
        <v>4335000</v>
      </c>
      <c r="R367" s="6">
        <v>4035000</v>
      </c>
      <c r="S367" s="6">
        <v>4755000</v>
      </c>
      <c r="T367" s="7" t="s">
        <v>61</v>
      </c>
      <c r="U367" s="7" t="s">
        <v>61</v>
      </c>
    </row>
    <row r="368" spans="1:21" ht="15">
      <c r="A368" s="2" t="s">
        <v>734</v>
      </c>
      <c r="B368" s="5">
        <v>4062496</v>
      </c>
      <c r="C368" s="2" t="s">
        <v>735</v>
      </c>
      <c r="D368" s="6">
        <v>15643000</v>
      </c>
      <c r="E368" s="6">
        <v>16231000</v>
      </c>
      <c r="F368" s="6">
        <v>16299000</v>
      </c>
      <c r="G368" s="6">
        <v>16159000</v>
      </c>
      <c r="H368" s="6">
        <v>16067000</v>
      </c>
      <c r="I368" s="6">
        <v>15440000</v>
      </c>
      <c r="J368" s="6">
        <v>13996000</v>
      </c>
      <c r="K368" s="6">
        <v>11959000</v>
      </c>
      <c r="L368" s="6">
        <v>10459000</v>
      </c>
      <c r="M368" s="6">
        <v>16563000</v>
      </c>
      <c r="N368" s="6">
        <v>11371000</v>
      </c>
      <c r="O368" s="6">
        <v>7620000</v>
      </c>
      <c r="P368" s="6">
        <v>44284000</v>
      </c>
      <c r="Q368" s="6">
        <v>38962000</v>
      </c>
      <c r="R368" s="6">
        <v>35820000</v>
      </c>
      <c r="S368" s="6">
        <v>44200000</v>
      </c>
      <c r="T368" s="6">
        <v>33566000</v>
      </c>
      <c r="U368" s="6">
        <v>23531000</v>
      </c>
    </row>
    <row r="369" spans="1:21" ht="15">
      <c r="A369" s="2" t="s">
        <v>736</v>
      </c>
      <c r="B369" s="5">
        <v>4097102</v>
      </c>
      <c r="C369" s="2" t="s">
        <v>737</v>
      </c>
      <c r="D369" s="6">
        <v>6418954</v>
      </c>
      <c r="E369" s="6">
        <v>1453014</v>
      </c>
      <c r="F369" s="6">
        <v>4002318</v>
      </c>
      <c r="G369" s="6">
        <v>3975491</v>
      </c>
      <c r="H369" s="6">
        <v>4463697</v>
      </c>
      <c r="I369" s="6">
        <v>4478957</v>
      </c>
      <c r="J369" s="6">
        <v>2497410</v>
      </c>
      <c r="K369" s="6">
        <v>2045370</v>
      </c>
      <c r="L369" s="6">
        <v>1706735</v>
      </c>
      <c r="M369" s="6">
        <v>1483091</v>
      </c>
      <c r="N369" s="6">
        <v>1052832</v>
      </c>
      <c r="O369" s="6">
        <v>911029</v>
      </c>
      <c r="P369" s="6">
        <v>28479697</v>
      </c>
      <c r="Q369" s="6">
        <v>23672795</v>
      </c>
      <c r="R369" s="6">
        <v>20882206</v>
      </c>
      <c r="S369" s="6">
        <v>17073903</v>
      </c>
      <c r="T369" s="6">
        <v>12980213</v>
      </c>
      <c r="U369" s="6">
        <v>11202672</v>
      </c>
    </row>
    <row r="370" spans="1:21" ht="15">
      <c r="A370" s="2" t="s">
        <v>738</v>
      </c>
      <c r="B370" s="5">
        <v>4070417</v>
      </c>
      <c r="C370" s="2" t="s">
        <v>739</v>
      </c>
      <c r="D370" s="6">
        <v>6585000</v>
      </c>
      <c r="E370" s="6">
        <v>4808000</v>
      </c>
      <c r="F370" s="6">
        <v>4773000</v>
      </c>
      <c r="G370" s="6">
        <v>4714000</v>
      </c>
      <c r="H370" s="6">
        <v>5498000</v>
      </c>
      <c r="I370" s="6">
        <v>7121000</v>
      </c>
      <c r="J370" s="6">
        <v>2175000</v>
      </c>
      <c r="K370" s="6">
        <v>1907000</v>
      </c>
      <c r="L370" s="6">
        <v>1755000</v>
      </c>
      <c r="M370" s="6">
        <v>1934000</v>
      </c>
      <c r="N370" s="6">
        <v>2801000</v>
      </c>
      <c r="O370" s="6">
        <v>2349000</v>
      </c>
      <c r="P370" s="6">
        <v>11035000</v>
      </c>
      <c r="Q370" s="6">
        <v>9872000</v>
      </c>
      <c r="R370" s="6">
        <v>9252000</v>
      </c>
      <c r="S370" s="6">
        <v>9883000</v>
      </c>
      <c r="T370" s="6">
        <v>10788000</v>
      </c>
      <c r="U370" s="6">
        <v>9437000</v>
      </c>
    </row>
    <row r="371" spans="1:21" ht="15">
      <c r="A371" s="2" t="s">
        <v>740</v>
      </c>
      <c r="B371" s="5">
        <v>4157135</v>
      </c>
      <c r="C371" s="2" t="s">
        <v>741</v>
      </c>
      <c r="D371" s="6">
        <v>2668100</v>
      </c>
      <c r="E371" s="6">
        <v>3227100</v>
      </c>
      <c r="F371" s="6">
        <v>3620500</v>
      </c>
      <c r="G371" s="6">
        <v>3391900</v>
      </c>
      <c r="H371" s="6">
        <v>2881900</v>
      </c>
      <c r="I371" s="6">
        <v>2675300</v>
      </c>
      <c r="J371" s="6">
        <v>1143000</v>
      </c>
      <c r="K371" s="6">
        <v>1024900</v>
      </c>
      <c r="L371" s="6">
        <v>967200</v>
      </c>
      <c r="M371" s="6">
        <v>876900</v>
      </c>
      <c r="N371" s="6">
        <v>447000</v>
      </c>
      <c r="O371" s="6">
        <v>871600</v>
      </c>
      <c r="P371" s="6">
        <v>7079000</v>
      </c>
      <c r="Q371" s="6">
        <v>6631400</v>
      </c>
      <c r="R371" s="6">
        <v>6443600</v>
      </c>
      <c r="S371" s="6">
        <v>6218500</v>
      </c>
      <c r="T371" s="6">
        <v>4400800</v>
      </c>
      <c r="U371" s="6">
        <v>6159800</v>
      </c>
    </row>
    <row r="372" spans="1:21" ht="15">
      <c r="A372" s="2" t="s">
        <v>742</v>
      </c>
      <c r="B372" s="5">
        <v>102771</v>
      </c>
      <c r="C372" s="2" t="s">
        <v>743</v>
      </c>
      <c r="D372" s="6">
        <v>6059000</v>
      </c>
      <c r="E372" s="6">
        <v>3921000</v>
      </c>
      <c r="F372" s="6">
        <v>3850000</v>
      </c>
      <c r="G372" s="6">
        <v>4807000</v>
      </c>
      <c r="H372" s="6">
        <v>4505000</v>
      </c>
      <c r="I372" s="6">
        <v>4784000</v>
      </c>
      <c r="J372" s="7" t="s">
        <v>61</v>
      </c>
      <c r="K372" s="7" t="s">
        <v>61</v>
      </c>
      <c r="L372" s="7" t="s">
        <v>61</v>
      </c>
      <c r="M372" s="7" t="s">
        <v>61</v>
      </c>
      <c r="N372" s="7" t="s">
        <v>61</v>
      </c>
      <c r="O372" s="7" t="s">
        <v>61</v>
      </c>
      <c r="P372" s="6">
        <v>14015000</v>
      </c>
      <c r="Q372" s="6">
        <v>12797000</v>
      </c>
      <c r="R372" s="6">
        <v>11510000</v>
      </c>
      <c r="S372" s="6">
        <v>10827000</v>
      </c>
      <c r="T372" s="6">
        <v>9813000</v>
      </c>
      <c r="U372" s="6">
        <v>7757000</v>
      </c>
    </row>
    <row r="373" spans="1:21" ht="15">
      <c r="A373" s="2" t="s">
        <v>744</v>
      </c>
      <c r="B373" s="5">
        <v>103118</v>
      </c>
      <c r="C373" s="2" t="s">
        <v>745</v>
      </c>
      <c r="D373" s="6">
        <v>29492946</v>
      </c>
      <c r="E373" s="6">
        <v>9011638</v>
      </c>
      <c r="F373" s="6">
        <v>16018989</v>
      </c>
      <c r="G373" s="6">
        <v>18566998</v>
      </c>
      <c r="H373" s="6">
        <v>22102695</v>
      </c>
      <c r="I373" s="6">
        <v>26836940</v>
      </c>
      <c r="J373" s="6">
        <v>5113515</v>
      </c>
      <c r="K373" s="6">
        <v>4647772</v>
      </c>
      <c r="L373" s="6">
        <v>3681539</v>
      </c>
      <c r="M373" s="6">
        <v>3028044</v>
      </c>
      <c r="N373" s="6">
        <v>1850984</v>
      </c>
      <c r="O373" s="6">
        <v>1472732</v>
      </c>
      <c r="P373" s="6">
        <v>5762707</v>
      </c>
      <c r="Q373" s="6">
        <v>5278935</v>
      </c>
      <c r="R373" s="6">
        <v>4081539</v>
      </c>
      <c r="S373" s="6">
        <v>3337233</v>
      </c>
      <c r="T373" s="6">
        <v>2081569</v>
      </c>
      <c r="U373" s="6">
        <v>1647087</v>
      </c>
    </row>
    <row r="374" spans="1:21" ht="15">
      <c r="A374" s="2" t="s">
        <v>746</v>
      </c>
      <c r="B374" s="5">
        <v>103091</v>
      </c>
      <c r="C374" s="2" t="s">
        <v>747</v>
      </c>
      <c r="D374" s="6">
        <v>4983275</v>
      </c>
      <c r="E374" s="6">
        <v>4152765</v>
      </c>
      <c r="F374" s="6">
        <v>3937590</v>
      </c>
      <c r="G374" s="6">
        <v>3940476</v>
      </c>
      <c r="H374" s="6">
        <v>4401347</v>
      </c>
      <c r="I374" s="6">
        <v>4653984</v>
      </c>
      <c r="J374" s="6">
        <v>1023338</v>
      </c>
      <c r="K374" s="6">
        <v>942924</v>
      </c>
      <c r="L374" s="6">
        <v>838682</v>
      </c>
      <c r="M374" s="6">
        <v>818052</v>
      </c>
      <c r="N374" s="6">
        <v>771321</v>
      </c>
      <c r="O374" s="6">
        <v>606316</v>
      </c>
      <c r="P374" s="6">
        <v>1611043</v>
      </c>
      <c r="Q374" s="6">
        <v>1503291</v>
      </c>
      <c r="R374" s="6">
        <v>1369846</v>
      </c>
      <c r="S374" s="6">
        <v>1271098</v>
      </c>
      <c r="T374" s="6">
        <v>1203867</v>
      </c>
      <c r="U374" s="6">
        <v>1047931</v>
      </c>
    </row>
    <row r="375" spans="1:21" ht="15">
      <c r="A375" s="2" t="s">
        <v>748</v>
      </c>
      <c r="B375" s="5">
        <v>4094029</v>
      </c>
      <c r="C375" s="2" t="s">
        <v>749</v>
      </c>
      <c r="D375" s="6">
        <v>2972700</v>
      </c>
      <c r="E375" s="6">
        <v>2695700</v>
      </c>
      <c r="F375" s="6">
        <v>2699700</v>
      </c>
      <c r="G375" s="6">
        <v>2769600</v>
      </c>
      <c r="H375" s="6">
        <v>2790600</v>
      </c>
      <c r="I375" s="6">
        <v>2938800</v>
      </c>
      <c r="J375" s="6">
        <v>4245700</v>
      </c>
      <c r="K375" s="6">
        <v>4628000</v>
      </c>
      <c r="L375" s="6">
        <v>4654200</v>
      </c>
      <c r="M375" s="6">
        <v>5335400</v>
      </c>
      <c r="N375" s="6">
        <v>9281000</v>
      </c>
      <c r="O375" s="6">
        <v>3900500</v>
      </c>
      <c r="P375" s="6">
        <v>14342900</v>
      </c>
      <c r="Q375" s="6">
        <v>14202000</v>
      </c>
      <c r="R375" s="6">
        <v>13117200</v>
      </c>
      <c r="S375" s="6">
        <v>12172900</v>
      </c>
      <c r="T375" s="6">
        <v>16071700</v>
      </c>
      <c r="U375" s="6">
        <v>8497100</v>
      </c>
    </row>
    <row r="376" spans="1:21" ht="15">
      <c r="A376" s="2" t="s">
        <v>750</v>
      </c>
      <c r="B376" s="5">
        <v>100233</v>
      </c>
      <c r="C376" s="2" t="s">
        <v>751</v>
      </c>
      <c r="D376" s="6">
        <v>6868000</v>
      </c>
      <c r="E376" s="6">
        <v>5712000</v>
      </c>
      <c r="F376" s="6">
        <v>3948000</v>
      </c>
      <c r="G376" s="6">
        <v>6215000</v>
      </c>
      <c r="H376" s="6">
        <v>5556000</v>
      </c>
      <c r="I376" s="6">
        <v>9044000</v>
      </c>
      <c r="J376" s="7" t="s">
        <v>61</v>
      </c>
      <c r="K376" s="7" t="s">
        <v>61</v>
      </c>
      <c r="L376" s="7" t="s">
        <v>61</v>
      </c>
      <c r="M376" s="7" t="s">
        <v>61</v>
      </c>
      <c r="N376" s="7" t="s">
        <v>61</v>
      </c>
      <c r="O376" s="7" t="s">
        <v>61</v>
      </c>
      <c r="P376" s="6">
        <v>7056000</v>
      </c>
      <c r="Q376" s="6">
        <v>6596000</v>
      </c>
      <c r="R376" s="6">
        <v>7023000</v>
      </c>
      <c r="S376" s="6">
        <v>6894000</v>
      </c>
      <c r="T376" s="6">
        <v>6960000</v>
      </c>
      <c r="U376" s="6">
        <v>4955000</v>
      </c>
    </row>
    <row r="377" spans="1:21" ht="15">
      <c r="A377" s="2" t="s">
        <v>752</v>
      </c>
      <c r="B377" s="5">
        <v>4102003</v>
      </c>
      <c r="C377" s="2" t="s">
        <v>753</v>
      </c>
      <c r="D377" s="6">
        <v>13806000</v>
      </c>
      <c r="E377" s="6">
        <v>9277300</v>
      </c>
      <c r="F377" s="6">
        <v>9882300</v>
      </c>
      <c r="G377" s="6">
        <v>12182300</v>
      </c>
      <c r="H377" s="6">
        <v>13069000</v>
      </c>
      <c r="I377" s="6">
        <v>12957000</v>
      </c>
      <c r="J377" s="6">
        <v>5141000</v>
      </c>
      <c r="K377" s="6">
        <v>4927000</v>
      </c>
      <c r="L377" s="6">
        <v>4413000</v>
      </c>
      <c r="M377" s="6">
        <v>3853000</v>
      </c>
      <c r="N377" s="6">
        <v>3384800</v>
      </c>
      <c r="O377" s="6">
        <v>3000100</v>
      </c>
      <c r="P377" s="6">
        <v>16591000</v>
      </c>
      <c r="Q377" s="6">
        <v>16032000</v>
      </c>
      <c r="R377" s="6">
        <v>14965000</v>
      </c>
      <c r="S377" s="6">
        <v>13511000</v>
      </c>
      <c r="T377" s="6">
        <v>11295000</v>
      </c>
      <c r="U377" s="6">
        <v>10153600</v>
      </c>
    </row>
    <row r="378" spans="1:21" ht="15">
      <c r="A378" s="2" t="s">
        <v>754</v>
      </c>
      <c r="B378" s="5">
        <v>4811222</v>
      </c>
      <c r="C378" s="2" t="s">
        <v>755</v>
      </c>
      <c r="D378" s="6">
        <v>851813</v>
      </c>
      <c r="E378" s="6">
        <v>1299263</v>
      </c>
      <c r="F378" s="6">
        <v>793715</v>
      </c>
      <c r="G378" s="6">
        <v>917550</v>
      </c>
      <c r="H378" s="6">
        <v>1579908</v>
      </c>
      <c r="I378" s="6">
        <v>873935</v>
      </c>
      <c r="J378" s="6">
        <v>1860397</v>
      </c>
      <c r="K378" s="6">
        <v>1533543</v>
      </c>
      <c r="L378" s="6">
        <v>1292097</v>
      </c>
      <c r="M378" s="6">
        <v>1126214</v>
      </c>
      <c r="N378" s="6">
        <v>1028977</v>
      </c>
      <c r="O378" s="6">
        <v>922890</v>
      </c>
      <c r="P378" s="6">
        <v>5146327</v>
      </c>
      <c r="Q378" s="6">
        <v>4685297</v>
      </c>
      <c r="R378" s="6">
        <v>4222993</v>
      </c>
      <c r="S378" s="6">
        <v>3578127</v>
      </c>
      <c r="T378" s="6">
        <v>3196825</v>
      </c>
      <c r="U378" s="6">
        <v>2957013</v>
      </c>
    </row>
    <row r="379" spans="1:21" ht="15">
      <c r="A379" s="2" t="s">
        <v>756</v>
      </c>
      <c r="B379" s="5">
        <v>4812263</v>
      </c>
      <c r="C379" s="2" t="s">
        <v>757</v>
      </c>
      <c r="D379" s="6">
        <v>3398207</v>
      </c>
      <c r="E379" s="6">
        <v>2219381</v>
      </c>
      <c r="F379" s="6">
        <v>5160685</v>
      </c>
      <c r="G379" s="6">
        <v>4595461</v>
      </c>
      <c r="H379" s="6">
        <v>4065295</v>
      </c>
      <c r="I379" s="6">
        <v>3325805</v>
      </c>
      <c r="J379" s="6">
        <v>840927</v>
      </c>
      <c r="K379" s="6">
        <v>837635</v>
      </c>
      <c r="L379" s="6">
        <v>813265</v>
      </c>
      <c r="M379" s="6">
        <v>1254886</v>
      </c>
      <c r="N379" s="6">
        <v>1726591</v>
      </c>
      <c r="O379" s="6">
        <v>1066278</v>
      </c>
      <c r="P379" s="6">
        <v>2856051</v>
      </c>
      <c r="Q379" s="6">
        <v>2755026</v>
      </c>
      <c r="R379" s="6">
        <v>2750571</v>
      </c>
      <c r="S379" s="6">
        <v>3311822</v>
      </c>
      <c r="T379" s="6">
        <v>3827808</v>
      </c>
      <c r="U379" s="6">
        <v>2663230</v>
      </c>
    </row>
    <row r="380" spans="1:21" ht="15">
      <c r="A380" s="2" t="s">
        <v>758</v>
      </c>
      <c r="B380" s="5">
        <v>4580570</v>
      </c>
      <c r="C380" s="2" t="s">
        <v>759</v>
      </c>
      <c r="D380" s="6">
        <v>12449000</v>
      </c>
      <c r="E380" s="6">
        <v>1975218</v>
      </c>
      <c r="F380" s="6">
        <v>3802000</v>
      </c>
      <c r="G380" s="6">
        <v>1982000</v>
      </c>
      <c r="H380" s="6">
        <v>3656000</v>
      </c>
      <c r="I380" s="6">
        <v>7725000</v>
      </c>
      <c r="J380" s="7" t="s">
        <v>61</v>
      </c>
      <c r="K380" s="7" t="s">
        <v>61</v>
      </c>
      <c r="L380" s="7" t="s">
        <v>61</v>
      </c>
      <c r="M380" s="7" t="s">
        <v>61</v>
      </c>
      <c r="N380" s="7" t="s">
        <v>61</v>
      </c>
      <c r="O380" s="7" t="s">
        <v>61</v>
      </c>
      <c r="P380" s="6">
        <v>4473000</v>
      </c>
      <c r="Q380" s="6">
        <v>2951000</v>
      </c>
      <c r="R380" s="6">
        <v>1865000</v>
      </c>
      <c r="S380" s="6">
        <v>1358000</v>
      </c>
      <c r="T380" s="6">
        <v>1815000</v>
      </c>
      <c r="U380" s="6">
        <v>958000</v>
      </c>
    </row>
    <row r="381" spans="1:21" ht="15">
      <c r="A381" s="2" t="s">
        <v>760</v>
      </c>
      <c r="B381" s="5">
        <v>4095448</v>
      </c>
      <c r="C381" s="2" t="s">
        <v>761</v>
      </c>
      <c r="D381" s="6">
        <v>3647000</v>
      </c>
      <c r="E381" s="6">
        <v>2363700</v>
      </c>
      <c r="F381" s="6">
        <v>4384600</v>
      </c>
      <c r="G381" s="6">
        <v>4183000</v>
      </c>
      <c r="H381" s="6">
        <v>3334900</v>
      </c>
      <c r="I381" s="6">
        <v>4085000</v>
      </c>
      <c r="J381" s="6">
        <v>1736000</v>
      </c>
      <c r="K381" s="6">
        <v>1614000</v>
      </c>
      <c r="L381" s="6">
        <v>1849000</v>
      </c>
      <c r="M381" s="6">
        <v>1561000</v>
      </c>
      <c r="N381" s="6">
        <v>1330300</v>
      </c>
      <c r="O381" s="6">
        <v>1241900</v>
      </c>
      <c r="P381" s="6">
        <v>8342000</v>
      </c>
      <c r="Q381" s="6">
        <v>8264000</v>
      </c>
      <c r="R381" s="6">
        <v>9058000</v>
      </c>
      <c r="S381" s="6">
        <v>7760400</v>
      </c>
      <c r="T381" s="6">
        <v>6997400</v>
      </c>
      <c r="U381" s="6">
        <v>6329800</v>
      </c>
    </row>
    <row r="382" spans="1:21" ht="15">
      <c r="A382" s="2" t="s">
        <v>762</v>
      </c>
      <c r="B382" s="5">
        <v>4004396</v>
      </c>
      <c r="C382" s="2" t="s">
        <v>763</v>
      </c>
      <c r="D382" s="6">
        <v>1038005</v>
      </c>
      <c r="E382" s="6">
        <v>417145</v>
      </c>
      <c r="F382" s="6">
        <v>402760</v>
      </c>
      <c r="G382" s="6">
        <v>336329</v>
      </c>
      <c r="H382" s="6">
        <v>816348</v>
      </c>
      <c r="I382" s="6">
        <v>812528</v>
      </c>
      <c r="J382" s="6">
        <v>854012</v>
      </c>
      <c r="K382" s="6">
        <v>770444</v>
      </c>
      <c r="L382" s="6">
        <v>688174</v>
      </c>
      <c r="M382" s="6">
        <v>584714</v>
      </c>
      <c r="N382" s="6">
        <v>534194</v>
      </c>
      <c r="O382" s="6">
        <v>455419</v>
      </c>
      <c r="P382" s="6">
        <v>3761050</v>
      </c>
      <c r="Q382" s="6">
        <v>3388708</v>
      </c>
      <c r="R382" s="6">
        <v>3073278</v>
      </c>
      <c r="S382" s="6">
        <v>2695823</v>
      </c>
      <c r="T382" s="6">
        <v>2424300</v>
      </c>
      <c r="U382" s="6">
        <v>2161220</v>
      </c>
    </row>
    <row r="383" spans="1:21" ht="15">
      <c r="A383" s="2" t="s">
        <v>764</v>
      </c>
      <c r="B383" s="5">
        <v>4677071</v>
      </c>
      <c r="C383" s="2" t="s">
        <v>765</v>
      </c>
      <c r="D383" s="6">
        <v>9534500</v>
      </c>
      <c r="E383" s="6">
        <v>9810400</v>
      </c>
      <c r="F383" s="6">
        <v>8120200</v>
      </c>
      <c r="G383" s="6">
        <v>6872300</v>
      </c>
      <c r="H383" s="6">
        <v>6532100</v>
      </c>
      <c r="I383" s="6">
        <v>7824000</v>
      </c>
      <c r="J383" s="6">
        <v>3133600</v>
      </c>
      <c r="K383" s="6">
        <v>2809600</v>
      </c>
      <c r="L383" s="6">
        <v>2500400</v>
      </c>
      <c r="M383" s="6">
        <v>2174600</v>
      </c>
      <c r="N383" s="6">
        <v>1951500</v>
      </c>
      <c r="O383" s="6">
        <v>1574500</v>
      </c>
      <c r="P383" s="6">
        <v>7902500</v>
      </c>
      <c r="Q383" s="6">
        <v>7039200</v>
      </c>
      <c r="R383" s="6">
        <v>6177800</v>
      </c>
      <c r="S383" s="6">
        <v>5371800</v>
      </c>
      <c r="T383" s="6">
        <v>4833800</v>
      </c>
      <c r="U383" s="6">
        <v>4022400</v>
      </c>
    </row>
    <row r="384" spans="1:21" ht="15">
      <c r="A384" s="2" t="s">
        <v>766</v>
      </c>
      <c r="B384" s="5">
        <v>4070608</v>
      </c>
      <c r="C384" s="2" t="s">
        <v>767</v>
      </c>
      <c r="D384" s="6">
        <v>5212338</v>
      </c>
      <c r="E384" s="6">
        <v>5732799</v>
      </c>
      <c r="F384" s="6">
        <v>5622139</v>
      </c>
      <c r="G384" s="6">
        <v>5706447</v>
      </c>
      <c r="H384" s="6">
        <v>5747704</v>
      </c>
      <c r="I384" s="6">
        <v>5682429</v>
      </c>
      <c r="J384" s="6">
        <v>3216748</v>
      </c>
      <c r="K384" s="6">
        <v>3032374</v>
      </c>
      <c r="L384" s="6">
        <v>2727095</v>
      </c>
      <c r="M384" s="6">
        <v>2384986</v>
      </c>
      <c r="N384" s="6">
        <v>2693532</v>
      </c>
      <c r="O384" s="6">
        <v>553955</v>
      </c>
      <c r="P384" s="6">
        <v>22750559</v>
      </c>
      <c r="Q384" s="6">
        <v>21129219</v>
      </c>
      <c r="R384" s="6">
        <v>20376941</v>
      </c>
      <c r="S384" s="6">
        <v>18695829</v>
      </c>
      <c r="T384" s="6">
        <v>18916244</v>
      </c>
      <c r="U384" s="6">
        <v>12531565</v>
      </c>
    </row>
    <row r="385" spans="1:21" ht="15">
      <c r="A385" s="2" t="s">
        <v>768</v>
      </c>
      <c r="B385" s="5">
        <v>4980858</v>
      </c>
      <c r="C385" s="2" t="s">
        <v>769</v>
      </c>
      <c r="D385" s="6">
        <v>22036000</v>
      </c>
      <c r="E385" s="6">
        <v>20140249</v>
      </c>
      <c r="F385" s="6">
        <v>21756068</v>
      </c>
      <c r="G385" s="6">
        <v>23994000</v>
      </c>
      <c r="H385" s="6">
        <v>22130000</v>
      </c>
      <c r="I385" s="6">
        <v>20820000</v>
      </c>
      <c r="J385" s="6">
        <v>6637000</v>
      </c>
      <c r="K385" s="6">
        <v>5726000</v>
      </c>
      <c r="L385" s="6">
        <v>4349000</v>
      </c>
      <c r="M385" s="6">
        <v>653000</v>
      </c>
      <c r="N385" s="6">
        <v>-2575000</v>
      </c>
      <c r="O385" s="6">
        <v>-1710971</v>
      </c>
      <c r="P385" s="6">
        <v>17935000</v>
      </c>
      <c r="Q385" s="6">
        <v>16484000</v>
      </c>
      <c r="R385" s="6">
        <v>13900000</v>
      </c>
      <c r="S385" s="6">
        <v>8840000</v>
      </c>
      <c r="T385" s="6">
        <v>1532000</v>
      </c>
      <c r="U385" s="6">
        <v>2208805</v>
      </c>
    </row>
    <row r="386" spans="1:21" ht="15">
      <c r="A386" s="2" t="s">
        <v>770</v>
      </c>
      <c r="B386" s="5">
        <v>4001600</v>
      </c>
      <c r="C386" s="2" t="s">
        <v>771</v>
      </c>
      <c r="D386" s="6">
        <v>39956000</v>
      </c>
      <c r="E386" s="6">
        <v>33821000</v>
      </c>
      <c r="F386" s="6">
        <v>33553000</v>
      </c>
      <c r="G386" s="6">
        <v>33856000</v>
      </c>
      <c r="H386" s="6">
        <v>45587000</v>
      </c>
      <c r="I386" s="6">
        <v>43260000</v>
      </c>
      <c r="J386" s="6">
        <v>14735000</v>
      </c>
      <c r="K386" s="6">
        <v>12705000</v>
      </c>
      <c r="L386" s="6">
        <v>9552000</v>
      </c>
      <c r="M386" s="6">
        <v>11455000</v>
      </c>
      <c r="N386" s="6">
        <v>11193000</v>
      </c>
      <c r="O386" s="6">
        <v>5921000</v>
      </c>
      <c r="P386" s="6">
        <v>88603000</v>
      </c>
      <c r="Q386" s="6">
        <v>80738000</v>
      </c>
      <c r="R386" s="6">
        <v>68920000</v>
      </c>
      <c r="S386" s="6">
        <v>67074000</v>
      </c>
      <c r="T386" s="6">
        <v>64388000</v>
      </c>
      <c r="U386" s="6">
        <v>56587000</v>
      </c>
    </row>
    <row r="387" spans="1:21" ht="15">
      <c r="A387" s="2" t="s">
        <v>772</v>
      </c>
      <c r="B387" s="5">
        <v>4023623</v>
      </c>
      <c r="C387" s="2" t="s">
        <v>773</v>
      </c>
      <c r="D387" s="6">
        <v>13706000</v>
      </c>
      <c r="E387" s="6">
        <v>4754000</v>
      </c>
      <c r="F387" s="6">
        <v>4972000</v>
      </c>
      <c r="G387" s="6">
        <v>11651000</v>
      </c>
      <c r="H387" s="6">
        <v>12105000</v>
      </c>
      <c r="I387" s="6">
        <v>12042000</v>
      </c>
      <c r="J387" s="6">
        <v>7644000</v>
      </c>
      <c r="K387" s="6">
        <v>6965000</v>
      </c>
      <c r="L387" s="6">
        <v>5716000</v>
      </c>
      <c r="M387" s="6">
        <v>4954000</v>
      </c>
      <c r="N387" s="6">
        <v>4710000</v>
      </c>
      <c r="O387" s="6">
        <v>4076000</v>
      </c>
      <c r="P387" s="6">
        <v>15336000</v>
      </c>
      <c r="Q387" s="6">
        <v>14208000</v>
      </c>
      <c r="R387" s="6">
        <v>12497000</v>
      </c>
      <c r="S387" s="6">
        <v>11181000</v>
      </c>
      <c r="T387" s="6">
        <v>8297000</v>
      </c>
      <c r="U387" s="6">
        <v>7442000</v>
      </c>
    </row>
    <row r="388" spans="1:21" ht="15">
      <c r="A388" s="2" t="s">
        <v>774</v>
      </c>
      <c r="B388" s="5">
        <v>4205848</v>
      </c>
      <c r="C388" s="2" t="s">
        <v>775</v>
      </c>
      <c r="D388" s="6">
        <v>17711000</v>
      </c>
      <c r="E388" s="6">
        <v>6413000</v>
      </c>
      <c r="F388" s="6">
        <v>14370000</v>
      </c>
      <c r="G388" s="6">
        <v>14879000</v>
      </c>
      <c r="H388" s="6">
        <v>13562000</v>
      </c>
      <c r="I388" s="6">
        <v>12070000</v>
      </c>
      <c r="J388" s="6">
        <v>12548000</v>
      </c>
      <c r="K388" s="6">
        <v>11143000</v>
      </c>
      <c r="L388" s="6">
        <v>9958000</v>
      </c>
      <c r="M388" s="6">
        <v>5644000</v>
      </c>
      <c r="N388" s="6">
        <v>3846000</v>
      </c>
      <c r="O388" s="6">
        <v>3301000</v>
      </c>
      <c r="P388" s="6">
        <v>41525000</v>
      </c>
      <c r="Q388" s="6">
        <v>37895000</v>
      </c>
      <c r="R388" s="6">
        <v>34857000</v>
      </c>
      <c r="S388" s="6">
        <v>31352000</v>
      </c>
      <c r="T388" s="6">
        <v>26492000</v>
      </c>
      <c r="U388" s="6">
        <v>21252000</v>
      </c>
    </row>
    <row r="389" spans="1:21" ht="15">
      <c r="A389" s="2" t="s">
        <v>776</v>
      </c>
      <c r="B389" s="5">
        <v>132983190</v>
      </c>
      <c r="C389" s="2" t="s">
        <v>777</v>
      </c>
      <c r="D389" s="6">
        <v>2068000</v>
      </c>
      <c r="E389" s="6">
        <v>2069341</v>
      </c>
      <c r="F389" s="6">
        <v>2150954</v>
      </c>
      <c r="G389" s="6">
        <v>950000</v>
      </c>
      <c r="H389" s="6">
        <v>1020000</v>
      </c>
      <c r="I389" s="6">
        <v>996000</v>
      </c>
      <c r="J389" s="6">
        <v>670000</v>
      </c>
      <c r="K389" s="6">
        <v>-256000</v>
      </c>
      <c r="L389" s="6">
        <v>-847000</v>
      </c>
      <c r="M389" s="6">
        <v>1741000</v>
      </c>
      <c r="N389" s="6">
        <v>1380037</v>
      </c>
      <c r="O389" s="6">
        <v>2177261</v>
      </c>
      <c r="P389" s="6">
        <v>7355000</v>
      </c>
      <c r="Q389" s="6">
        <v>6663000</v>
      </c>
      <c r="R389" s="6">
        <v>6086000</v>
      </c>
      <c r="S389" s="6">
        <v>9754000</v>
      </c>
      <c r="T389" s="6">
        <v>5564872</v>
      </c>
      <c r="U389" s="6">
        <v>6627701</v>
      </c>
    </row>
    <row r="390" spans="1:21" ht="15">
      <c r="A390" s="2" t="s">
        <v>778</v>
      </c>
      <c r="B390" s="5">
        <v>4829067</v>
      </c>
      <c r="C390" s="2" t="s">
        <v>779</v>
      </c>
      <c r="D390" s="6">
        <v>15331395</v>
      </c>
      <c r="E390" s="6">
        <v>13426196</v>
      </c>
      <c r="F390" s="6">
        <v>14522544</v>
      </c>
      <c r="G390" s="6">
        <v>15171155</v>
      </c>
      <c r="H390" s="6">
        <v>14463465</v>
      </c>
      <c r="I390" s="6">
        <v>15756194</v>
      </c>
      <c r="J390" s="6">
        <v>1810644</v>
      </c>
      <c r="K390" s="6">
        <v>1794580</v>
      </c>
      <c r="L390" s="6">
        <v>1791449</v>
      </c>
      <c r="M390" s="6">
        <v>1675813</v>
      </c>
      <c r="N390" s="6">
        <v>1513818</v>
      </c>
      <c r="O390" s="6">
        <v>1394672</v>
      </c>
      <c r="P390" s="6">
        <v>2815139</v>
      </c>
      <c r="Q390" s="6">
        <v>2679634</v>
      </c>
      <c r="R390" s="6">
        <v>2711584</v>
      </c>
      <c r="S390" s="6">
        <v>2633454</v>
      </c>
      <c r="T390" s="6">
        <v>2308834</v>
      </c>
      <c r="U390" s="6">
        <v>2083138</v>
      </c>
    </row>
    <row r="391" spans="1:21" ht="15">
      <c r="A391" s="2" t="s">
        <v>780</v>
      </c>
      <c r="B391" s="5">
        <v>4794937</v>
      </c>
      <c r="C391" s="2" t="s">
        <v>781</v>
      </c>
      <c r="D391" s="6">
        <v>5373000</v>
      </c>
      <c r="E391" s="6">
        <v>4265000</v>
      </c>
      <c r="F391" s="6">
        <v>5193000</v>
      </c>
      <c r="G391" s="6">
        <v>5696000</v>
      </c>
      <c r="H391" s="6">
        <v>5835000</v>
      </c>
      <c r="I391" s="6">
        <v>6073000</v>
      </c>
      <c r="J391" s="6">
        <v>2179000</v>
      </c>
      <c r="K391" s="6">
        <v>685000</v>
      </c>
      <c r="L391" s="6">
        <v>304000</v>
      </c>
      <c r="M391" s="6">
        <v>2409000</v>
      </c>
      <c r="N391" s="6">
        <v>1897000</v>
      </c>
      <c r="O391" s="6">
        <v>1761000</v>
      </c>
      <c r="P391" s="6">
        <v>9097000</v>
      </c>
      <c r="Q391" s="6">
        <v>6551000</v>
      </c>
      <c r="R391" s="6">
        <v>7384000</v>
      </c>
      <c r="S391" s="6">
        <v>11661000</v>
      </c>
      <c r="T391" s="6">
        <v>10681000</v>
      </c>
      <c r="U391" s="6">
        <v>10509000</v>
      </c>
    </row>
    <row r="392" spans="1:21" ht="15">
      <c r="A392" s="2" t="s">
        <v>782</v>
      </c>
      <c r="B392" s="5">
        <v>4057062</v>
      </c>
      <c r="C392" s="2" t="s">
        <v>783</v>
      </c>
      <c r="D392" s="6">
        <v>36287000</v>
      </c>
      <c r="E392" s="6">
        <v>25074000</v>
      </c>
      <c r="F392" s="6">
        <v>25590000</v>
      </c>
      <c r="G392" s="6">
        <v>29906000</v>
      </c>
      <c r="H392" s="6">
        <v>32057000</v>
      </c>
      <c r="I392" s="6">
        <v>37310000</v>
      </c>
      <c r="J392" s="6">
        <v>5501000</v>
      </c>
      <c r="K392" s="6">
        <v>5298000</v>
      </c>
      <c r="L392" s="6">
        <v>5837000</v>
      </c>
      <c r="M392" s="6">
        <v>4517000</v>
      </c>
      <c r="N392" s="6">
        <v>4635000</v>
      </c>
      <c r="O392" s="6">
        <v>4387000</v>
      </c>
      <c r="P392" s="6">
        <v>13702000</v>
      </c>
      <c r="Q392" s="6">
        <v>13185000</v>
      </c>
      <c r="R392" s="6">
        <v>16720000</v>
      </c>
      <c r="S392" s="6">
        <v>14439000</v>
      </c>
      <c r="T392" s="6">
        <v>12857000</v>
      </c>
      <c r="U392" s="6">
        <v>11370000</v>
      </c>
    </row>
    <row r="393" spans="1:21" ht="15">
      <c r="A393" s="2" t="s">
        <v>784</v>
      </c>
      <c r="B393" s="5">
        <v>4587650</v>
      </c>
      <c r="C393" s="2" t="s">
        <v>785</v>
      </c>
      <c r="D393" s="6">
        <v>2403000</v>
      </c>
      <c r="E393" s="6">
        <v>2135000</v>
      </c>
      <c r="F393" s="6">
        <v>2214000</v>
      </c>
      <c r="G393" s="6">
        <v>2232000</v>
      </c>
      <c r="H393" s="6">
        <v>2284000</v>
      </c>
      <c r="I393" s="6">
        <v>2278000</v>
      </c>
      <c r="J393" s="6">
        <v>2738000</v>
      </c>
      <c r="K393" s="6">
        <v>1961000</v>
      </c>
      <c r="L393" s="6">
        <v>1362000</v>
      </c>
      <c r="M393" s="6">
        <v>812000</v>
      </c>
      <c r="N393" s="6">
        <v>729000</v>
      </c>
      <c r="O393" s="6">
        <v>535000</v>
      </c>
      <c r="P393" s="6">
        <v>13278000</v>
      </c>
      <c r="Q393" s="6">
        <v>10984000</v>
      </c>
      <c r="R393" s="6">
        <v>8971000</v>
      </c>
      <c r="S393" s="6">
        <v>7245000</v>
      </c>
      <c r="T393" s="6">
        <v>5896000</v>
      </c>
      <c r="U393" s="6">
        <v>4519000</v>
      </c>
    </row>
    <row r="394" spans="1:21" ht="15">
      <c r="A394" s="2" t="s">
        <v>786</v>
      </c>
      <c r="B394" s="5">
        <v>103117</v>
      </c>
      <c r="C394" s="2" t="s">
        <v>787</v>
      </c>
      <c r="D394" s="6">
        <v>29199514</v>
      </c>
      <c r="E394" s="6">
        <v>27238853</v>
      </c>
      <c r="F394" s="6">
        <v>25827953</v>
      </c>
      <c r="G394" s="6">
        <v>25458239</v>
      </c>
      <c r="H394" s="6">
        <v>26518284</v>
      </c>
      <c r="I394" s="6">
        <v>24786978</v>
      </c>
      <c r="J394" s="6">
        <v>4703566</v>
      </c>
      <c r="K394" s="6">
        <v>4423503</v>
      </c>
      <c r="L394" s="6">
        <v>4106487</v>
      </c>
      <c r="M394" s="6">
        <v>3836060</v>
      </c>
      <c r="N394" s="6">
        <v>3693957</v>
      </c>
      <c r="O394" s="6">
        <v>3270251</v>
      </c>
      <c r="P394" s="6">
        <v>6364505</v>
      </c>
      <c r="Q394" s="6">
        <v>5963798</v>
      </c>
      <c r="R394" s="6">
        <v>5658836</v>
      </c>
      <c r="S394" s="6">
        <v>5291447</v>
      </c>
      <c r="T394" s="6">
        <v>5114689</v>
      </c>
      <c r="U394" s="6">
        <v>4602303</v>
      </c>
    </row>
    <row r="395" spans="1:21" ht="15">
      <c r="A395" s="2" t="s">
        <v>788</v>
      </c>
      <c r="B395" s="5">
        <v>4967090</v>
      </c>
      <c r="C395" s="2" t="s">
        <v>789</v>
      </c>
      <c r="D395" s="6">
        <v>1203100</v>
      </c>
      <c r="E395" s="6">
        <v>178900</v>
      </c>
      <c r="F395" s="6">
        <v>2413100</v>
      </c>
      <c r="G395" s="6">
        <v>2414500</v>
      </c>
      <c r="H395" s="6">
        <v>1509300</v>
      </c>
      <c r="I395" s="6">
        <v>1200400</v>
      </c>
      <c r="J395" s="6">
        <v>974700</v>
      </c>
      <c r="K395" s="6">
        <v>1238700</v>
      </c>
      <c r="L395" s="6">
        <v>1767000</v>
      </c>
      <c r="M395" s="6">
        <v>2247800</v>
      </c>
      <c r="N395" s="6">
        <v>2058300</v>
      </c>
      <c r="O395" s="6">
        <v>1269900</v>
      </c>
      <c r="P395" s="6">
        <v>4086900</v>
      </c>
      <c r="Q395" s="6">
        <v>4178000</v>
      </c>
      <c r="R395" s="6">
        <v>4772400</v>
      </c>
      <c r="S395" s="6">
        <v>5485500</v>
      </c>
      <c r="T395" s="6">
        <v>5109100</v>
      </c>
      <c r="U395" s="6">
        <v>3355700</v>
      </c>
    </row>
    <row r="396" spans="1:21" ht="15">
      <c r="A396" s="2" t="s">
        <v>790</v>
      </c>
      <c r="B396" s="5">
        <v>4011047</v>
      </c>
      <c r="C396" s="2" t="s">
        <v>791</v>
      </c>
      <c r="D396" s="6">
        <v>12547000</v>
      </c>
      <c r="E396" s="6">
        <v>17886000</v>
      </c>
      <c r="F396" s="6">
        <v>14273000</v>
      </c>
      <c r="G396" s="6">
        <v>12552000</v>
      </c>
      <c r="H396" s="6">
        <v>12032000</v>
      </c>
      <c r="I396" s="6">
        <v>12257000</v>
      </c>
      <c r="J396" s="6">
        <v>7733000</v>
      </c>
      <c r="K396" s="6">
        <v>8254000</v>
      </c>
      <c r="L396" s="6">
        <v>7258000</v>
      </c>
      <c r="M396" s="6">
        <v>5820000</v>
      </c>
      <c r="N396" s="6">
        <v>4469000</v>
      </c>
      <c r="O396" s="6">
        <v>3652000</v>
      </c>
      <c r="P396" s="6">
        <v>35708000</v>
      </c>
      <c r="Q396" s="6">
        <v>36289000</v>
      </c>
      <c r="R396" s="6">
        <v>33135000</v>
      </c>
      <c r="S396" s="6">
        <v>28091000</v>
      </c>
      <c r="T396" s="6">
        <v>22929000</v>
      </c>
      <c r="U396" s="6">
        <v>23601000</v>
      </c>
    </row>
    <row r="397" spans="1:21" ht="15">
      <c r="A397" s="2" t="s">
        <v>792</v>
      </c>
      <c r="B397" s="5">
        <v>4217596</v>
      </c>
      <c r="C397" s="2" t="s">
        <v>793</v>
      </c>
      <c r="D397" s="6">
        <v>14868000</v>
      </c>
      <c r="E397" s="6">
        <v>4007339.4488400002</v>
      </c>
      <c r="F397" s="6">
        <v>4269305.1289999997</v>
      </c>
      <c r="G397" s="6">
        <v>4008000</v>
      </c>
      <c r="H397" s="6">
        <v>4129000</v>
      </c>
      <c r="I397" s="6">
        <v>14614000</v>
      </c>
      <c r="J397" s="6">
        <v>4804000</v>
      </c>
      <c r="K397" s="6">
        <v>2898000</v>
      </c>
      <c r="L397" s="6">
        <v>2013000</v>
      </c>
      <c r="M397" s="6">
        <v>2285000</v>
      </c>
      <c r="N397" s="6">
        <v>1788000</v>
      </c>
      <c r="O397" s="6">
        <v>1560851.1337002099</v>
      </c>
      <c r="P397" s="6">
        <v>31179000</v>
      </c>
      <c r="Q397" s="6">
        <v>21109000</v>
      </c>
      <c r="R397" s="6">
        <v>12093000</v>
      </c>
      <c r="S397" s="6">
        <v>13509000</v>
      </c>
      <c r="T397" s="6">
        <v>11933000</v>
      </c>
      <c r="U397" s="6">
        <v>9739619.7296728399</v>
      </c>
    </row>
    <row r="398" spans="1:21" ht="15">
      <c r="A398" s="2" t="s">
        <v>794</v>
      </c>
      <c r="B398" s="5">
        <v>4007403</v>
      </c>
      <c r="C398" s="2" t="s">
        <v>795</v>
      </c>
      <c r="D398" s="6">
        <v>1293300</v>
      </c>
      <c r="E398" s="6">
        <v>1514000</v>
      </c>
      <c r="F398" s="6">
        <v>1261000</v>
      </c>
      <c r="G398" s="6">
        <v>1269000</v>
      </c>
      <c r="H398" s="6">
        <v>1281300</v>
      </c>
      <c r="I398" s="6">
        <v>1294300</v>
      </c>
      <c r="J398" s="6">
        <v>1395800</v>
      </c>
      <c r="K398" s="6">
        <v>1437500</v>
      </c>
      <c r="L398" s="6">
        <v>1436800</v>
      </c>
      <c r="M398" s="6">
        <v>1331900</v>
      </c>
      <c r="N398" s="6">
        <v>1232100</v>
      </c>
      <c r="O398" s="6">
        <v>977300</v>
      </c>
      <c r="P398" s="6">
        <v>5156100</v>
      </c>
      <c r="Q398" s="6">
        <v>5108400</v>
      </c>
      <c r="R398" s="6">
        <v>5108300</v>
      </c>
      <c r="S398" s="6">
        <v>4842500</v>
      </c>
      <c r="T398" s="6">
        <v>4601700</v>
      </c>
      <c r="U398" s="6">
        <v>3942200</v>
      </c>
    </row>
    <row r="399" spans="1:21" ht="15">
      <c r="A399" s="2" t="s">
        <v>796</v>
      </c>
      <c r="B399" s="5">
        <v>116229413</v>
      </c>
      <c r="C399" s="2" t="s">
        <v>797</v>
      </c>
      <c r="D399" s="6">
        <v>5248000</v>
      </c>
      <c r="E399" s="7" t="s">
        <v>61</v>
      </c>
      <c r="F399" s="6">
        <v>112000</v>
      </c>
      <c r="G399" s="6">
        <v>95000</v>
      </c>
      <c r="H399" s="6">
        <v>98000</v>
      </c>
      <c r="I399" s="6">
        <v>8183000</v>
      </c>
      <c r="J399" s="6">
        <v>1166000</v>
      </c>
      <c r="K399" s="6">
        <v>1647000</v>
      </c>
      <c r="L399" s="6">
        <v>2193000</v>
      </c>
      <c r="M399" s="6">
        <v>2270000</v>
      </c>
      <c r="N399" s="6">
        <v>2472000</v>
      </c>
      <c r="O399" s="6">
        <v>2026000</v>
      </c>
      <c r="P399" s="6">
        <v>8325000</v>
      </c>
      <c r="Q399" s="6">
        <v>8254000</v>
      </c>
      <c r="R399" s="6">
        <v>8197000</v>
      </c>
      <c r="S399" s="6">
        <v>8130000</v>
      </c>
      <c r="T399" s="6">
        <v>8171000</v>
      </c>
      <c r="U399" s="6">
        <v>7281000</v>
      </c>
    </row>
    <row r="400" spans="1:21" ht="15">
      <c r="A400" s="2" t="s">
        <v>798</v>
      </c>
      <c r="B400" s="5">
        <v>4121199</v>
      </c>
      <c r="C400" s="2" t="s">
        <v>799</v>
      </c>
      <c r="D400" s="6">
        <v>5981000</v>
      </c>
      <c r="E400" s="6">
        <v>12205000</v>
      </c>
      <c r="F400" s="6">
        <v>12285000</v>
      </c>
      <c r="G400" s="6">
        <v>9431000</v>
      </c>
      <c r="H400" s="6">
        <v>9200000</v>
      </c>
      <c r="I400" s="6">
        <v>8058000</v>
      </c>
      <c r="J400" s="6">
        <v>1720000</v>
      </c>
      <c r="K400" s="6">
        <v>1671000</v>
      </c>
      <c r="L400" s="6">
        <v>1498000</v>
      </c>
      <c r="M400" s="6">
        <v>2129000</v>
      </c>
      <c r="N400" s="6">
        <v>-70000</v>
      </c>
      <c r="O400" s="6">
        <v>-2963000</v>
      </c>
      <c r="P400" s="6">
        <v>28063000</v>
      </c>
      <c r="Q400" s="6">
        <v>27483000</v>
      </c>
      <c r="R400" s="6">
        <v>26091000</v>
      </c>
      <c r="S400" s="6">
        <v>23814000</v>
      </c>
      <c r="T400" s="6">
        <v>15790000</v>
      </c>
      <c r="U400" s="6">
        <v>9048000</v>
      </c>
    </row>
    <row r="401" spans="1:21" ht="15">
      <c r="A401" s="2" t="s">
        <v>800</v>
      </c>
      <c r="B401" s="5">
        <v>4102347</v>
      </c>
      <c r="C401" s="2" t="s">
        <v>801</v>
      </c>
      <c r="D401" s="6">
        <v>6340400</v>
      </c>
      <c r="E401" s="6">
        <v>4787100</v>
      </c>
      <c r="F401" s="6">
        <v>7037000</v>
      </c>
      <c r="G401" s="6">
        <v>7897500</v>
      </c>
      <c r="H401" s="6">
        <v>7683500</v>
      </c>
      <c r="I401" s="6">
        <v>6594800</v>
      </c>
      <c r="J401" s="6">
        <v>1686300</v>
      </c>
      <c r="K401" s="6">
        <v>1572300</v>
      </c>
      <c r="L401" s="6">
        <v>980600</v>
      </c>
      <c r="M401" s="6">
        <v>1481300</v>
      </c>
      <c r="N401" s="6">
        <v>2425300</v>
      </c>
      <c r="O401" s="6">
        <v>2601600</v>
      </c>
      <c r="P401" s="6">
        <v>15130400</v>
      </c>
      <c r="Q401" s="6">
        <v>15365700</v>
      </c>
      <c r="R401" s="6">
        <v>15781100</v>
      </c>
      <c r="S401" s="6">
        <v>16947400</v>
      </c>
      <c r="T401" s="6">
        <v>15281300</v>
      </c>
      <c r="U401" s="6">
        <v>12750000</v>
      </c>
    </row>
    <row r="402" spans="1:21" ht="15">
      <c r="A402" s="2" t="s">
        <v>802</v>
      </c>
      <c r="B402" s="5">
        <v>4071032</v>
      </c>
      <c r="C402" s="2" t="s">
        <v>803</v>
      </c>
      <c r="D402" s="6">
        <v>26628500</v>
      </c>
      <c r="E402" s="6">
        <v>25328100</v>
      </c>
      <c r="F402" s="6">
        <v>23606400</v>
      </c>
      <c r="G402" s="6">
        <v>23850800</v>
      </c>
      <c r="H402" s="6">
        <v>24641200</v>
      </c>
      <c r="I402" s="6">
        <v>25822300</v>
      </c>
      <c r="J402" s="6">
        <v>5454500</v>
      </c>
      <c r="K402" s="6">
        <v>6723300</v>
      </c>
      <c r="L402" s="6">
        <v>6976400</v>
      </c>
      <c r="M402" s="6">
        <v>5973400</v>
      </c>
      <c r="N402" s="6">
        <v>6225700</v>
      </c>
      <c r="O402" s="6">
        <v>3103100</v>
      </c>
      <c r="P402" s="6">
        <v>37184400</v>
      </c>
      <c r="Q402" s="6">
        <v>36176200</v>
      </c>
      <c r="R402" s="6">
        <v>35975600</v>
      </c>
      <c r="S402" s="6">
        <v>32250300</v>
      </c>
      <c r="T402" s="6">
        <v>29060600</v>
      </c>
      <c r="U402" s="6">
        <v>23518000</v>
      </c>
    </row>
    <row r="403" spans="1:21" ht="15">
      <c r="A403" s="2" t="s">
        <v>804</v>
      </c>
      <c r="B403" s="5">
        <v>100447</v>
      </c>
      <c r="C403" s="2" t="s">
        <v>805</v>
      </c>
      <c r="D403" s="6">
        <v>55863000</v>
      </c>
      <c r="E403" s="6">
        <v>42024000</v>
      </c>
      <c r="F403" s="6">
        <v>24949000</v>
      </c>
      <c r="G403" s="6">
        <v>32665000</v>
      </c>
      <c r="H403" s="6">
        <v>43989000</v>
      </c>
      <c r="I403" s="6">
        <v>57719000</v>
      </c>
      <c r="J403" s="7" t="s">
        <v>61</v>
      </c>
      <c r="K403" s="7" t="s">
        <v>61</v>
      </c>
      <c r="L403" s="7" t="s">
        <v>61</v>
      </c>
      <c r="M403" s="7" t="s">
        <v>61</v>
      </c>
      <c r="N403" s="7" t="s">
        <v>61</v>
      </c>
      <c r="O403" s="7" t="s">
        <v>61</v>
      </c>
      <c r="P403" s="6">
        <v>13885000</v>
      </c>
      <c r="Q403" s="6">
        <v>12925000</v>
      </c>
      <c r="R403" s="6">
        <v>11899000</v>
      </c>
      <c r="S403" s="6">
        <v>12128000</v>
      </c>
      <c r="T403" s="6">
        <v>12060000</v>
      </c>
      <c r="U403" s="6">
        <v>11615000</v>
      </c>
    </row>
    <row r="404" spans="1:21" ht="15">
      <c r="A404" s="2" t="s">
        <v>806</v>
      </c>
      <c r="B404" s="5">
        <v>4120616</v>
      </c>
      <c r="C404" s="2" t="s">
        <v>807</v>
      </c>
      <c r="D404" s="6">
        <v>4382817</v>
      </c>
      <c r="E404" s="6">
        <v>3192992</v>
      </c>
      <c r="F404" s="6">
        <v>3205950</v>
      </c>
      <c r="G404" s="6">
        <v>3181218</v>
      </c>
      <c r="H404" s="6">
        <v>3199206</v>
      </c>
      <c r="I404" s="6">
        <v>3345339</v>
      </c>
      <c r="J404" s="6">
        <v>2027376</v>
      </c>
      <c r="K404" s="6">
        <v>2421944</v>
      </c>
      <c r="L404" s="6">
        <v>3588985</v>
      </c>
      <c r="M404" s="6">
        <v>5476024</v>
      </c>
      <c r="N404" s="6">
        <v>4648758</v>
      </c>
      <c r="O404" s="6">
        <v>1192340</v>
      </c>
      <c r="P404" s="6">
        <v>18176581</v>
      </c>
      <c r="Q404" s="6">
        <v>17540390</v>
      </c>
      <c r="R404" s="6">
        <v>18795316</v>
      </c>
      <c r="S404" s="6">
        <v>22260774</v>
      </c>
      <c r="T404" s="6">
        <v>18408850</v>
      </c>
      <c r="U404" s="6">
        <v>9601482</v>
      </c>
    </row>
    <row r="405" spans="1:21" ht="15">
      <c r="A405" s="2" t="s">
        <v>808</v>
      </c>
      <c r="B405" s="5">
        <v>4810920</v>
      </c>
      <c r="C405" s="2" t="s">
        <v>809</v>
      </c>
      <c r="D405" s="6">
        <v>2202540</v>
      </c>
      <c r="E405" s="6">
        <v>1284444</v>
      </c>
      <c r="F405" s="6">
        <v>1802987</v>
      </c>
      <c r="G405" s="6">
        <v>3279884</v>
      </c>
      <c r="H405" s="6">
        <v>3248277</v>
      </c>
      <c r="I405" s="6">
        <v>3383167</v>
      </c>
      <c r="J405" s="6">
        <v>1464446</v>
      </c>
      <c r="K405" s="6">
        <v>1356076</v>
      </c>
      <c r="L405" s="6">
        <v>1234502</v>
      </c>
      <c r="M405" s="6">
        <v>1111915</v>
      </c>
      <c r="N405" s="6">
        <v>800325</v>
      </c>
      <c r="O405" s="6">
        <v>743179</v>
      </c>
      <c r="P405" s="6">
        <v>5459515</v>
      </c>
      <c r="Q405" s="6">
        <v>5138701</v>
      </c>
      <c r="R405" s="6">
        <v>4536266</v>
      </c>
      <c r="S405" s="6">
        <v>4223403</v>
      </c>
      <c r="T405" s="6">
        <v>3107519</v>
      </c>
      <c r="U405" s="6">
        <v>3030895</v>
      </c>
    </row>
    <row r="406" spans="1:21" ht="15">
      <c r="A406" s="2" t="s">
        <v>810</v>
      </c>
      <c r="B406" s="5">
        <v>4321488</v>
      </c>
      <c r="C406" s="2" t="s">
        <v>811</v>
      </c>
      <c r="D406" s="6">
        <v>16360000</v>
      </c>
      <c r="E406" s="6">
        <v>14425000</v>
      </c>
      <c r="F406" s="6">
        <v>12901000</v>
      </c>
      <c r="G406" s="6">
        <v>13526000</v>
      </c>
      <c r="H406" s="6">
        <v>13494000</v>
      </c>
      <c r="I406" s="6">
        <v>14120000</v>
      </c>
      <c r="J406" s="6">
        <v>6949000</v>
      </c>
      <c r="K406" s="6">
        <v>6006000</v>
      </c>
      <c r="L406" s="6">
        <v>5142000</v>
      </c>
      <c r="M406" s="6">
        <v>4551000</v>
      </c>
      <c r="N406" s="6">
        <v>4646000</v>
      </c>
      <c r="O406" s="6">
        <v>3746000</v>
      </c>
      <c r="P406" s="6">
        <v>25116000</v>
      </c>
      <c r="Q406" s="6">
        <v>22595000</v>
      </c>
      <c r="R406" s="6">
        <v>20498000</v>
      </c>
      <c r="S406" s="6">
        <v>18449000</v>
      </c>
      <c r="T406" s="6">
        <v>17108000</v>
      </c>
      <c r="U406" s="6">
        <v>14351000</v>
      </c>
    </row>
    <row r="407" spans="1:21" ht="15">
      <c r="A407" s="2" t="s">
        <v>812</v>
      </c>
      <c r="B407" s="5">
        <v>4276821</v>
      </c>
      <c r="C407" s="2" t="s">
        <v>813</v>
      </c>
      <c r="D407" s="6">
        <v>5059210</v>
      </c>
      <c r="E407" s="6">
        <v>53813</v>
      </c>
      <c r="F407" s="6">
        <v>119051</v>
      </c>
      <c r="G407" s="6">
        <v>596764</v>
      </c>
      <c r="H407" s="6">
        <v>290302</v>
      </c>
      <c r="I407" s="6">
        <v>2183393</v>
      </c>
      <c r="J407" s="6">
        <v>1311338</v>
      </c>
      <c r="K407" s="6">
        <v>1249467</v>
      </c>
      <c r="L407" s="6">
        <v>796046</v>
      </c>
      <c r="M407" s="6">
        <v>367638</v>
      </c>
      <c r="N407" s="6">
        <v>152132</v>
      </c>
      <c r="O407" s="6">
        <v>114126</v>
      </c>
      <c r="P407" s="6">
        <v>21972042</v>
      </c>
      <c r="Q407" s="6">
        <v>14989251</v>
      </c>
      <c r="R407" s="6">
        <v>7123482</v>
      </c>
      <c r="S407" s="6">
        <v>5196099</v>
      </c>
      <c r="T407" s="6">
        <v>3557422</v>
      </c>
      <c r="U407" s="6">
        <v>3339281</v>
      </c>
    </row>
    <row r="408" spans="1:21" ht="15">
      <c r="A408" s="2" t="s">
        <v>814</v>
      </c>
      <c r="B408" s="5">
        <v>4389036</v>
      </c>
      <c r="C408" s="2" t="s">
        <v>815</v>
      </c>
      <c r="D408" s="6">
        <v>15182000</v>
      </c>
      <c r="E408" s="6">
        <v>15775000</v>
      </c>
      <c r="F408" s="6">
        <v>14507000</v>
      </c>
      <c r="G408" s="6">
        <v>14191000</v>
      </c>
      <c r="H408" s="6">
        <v>15982000</v>
      </c>
      <c r="I408" s="6">
        <v>15462000</v>
      </c>
      <c r="J408" s="7" t="s">
        <v>61</v>
      </c>
      <c r="K408" s="7" t="s">
        <v>61</v>
      </c>
      <c r="L408" s="7" t="s">
        <v>61</v>
      </c>
      <c r="M408" s="7" t="s">
        <v>61</v>
      </c>
      <c r="N408" s="7" t="s">
        <v>61</v>
      </c>
      <c r="O408" s="7" t="s">
        <v>61</v>
      </c>
      <c r="P408" s="6">
        <v>9756000</v>
      </c>
      <c r="Q408" s="6">
        <v>9392000</v>
      </c>
      <c r="R408" s="6">
        <v>7662000</v>
      </c>
      <c r="S408" s="6">
        <v>8299000</v>
      </c>
      <c r="T408" s="6">
        <v>9466000</v>
      </c>
      <c r="U408" s="6">
        <v>5852000</v>
      </c>
    </row>
    <row r="409" spans="1:21" ht="15">
      <c r="A409" s="2" t="s">
        <v>816</v>
      </c>
      <c r="B409" s="5">
        <v>4089979</v>
      </c>
      <c r="C409" s="2" t="s">
        <v>817</v>
      </c>
      <c r="D409" s="6">
        <v>14293418</v>
      </c>
      <c r="E409" s="6">
        <v>663491</v>
      </c>
      <c r="F409" s="6">
        <v>666767</v>
      </c>
      <c r="G409" s="6">
        <v>656371</v>
      </c>
      <c r="H409" s="6">
        <v>677596</v>
      </c>
      <c r="I409" s="6">
        <v>684457</v>
      </c>
      <c r="J409" s="6">
        <v>1328147</v>
      </c>
      <c r="K409" s="6">
        <v>1599479</v>
      </c>
      <c r="L409" s="6">
        <v>1525788</v>
      </c>
      <c r="M409" s="6">
        <v>1343086</v>
      </c>
      <c r="N409" s="6">
        <v>921755</v>
      </c>
      <c r="O409" s="6">
        <v>814573</v>
      </c>
      <c r="P409" s="6">
        <v>7054178</v>
      </c>
      <c r="Q409" s="6">
        <v>6127436</v>
      </c>
      <c r="R409" s="6">
        <v>5318014</v>
      </c>
      <c r="S409" s="6">
        <v>4615714</v>
      </c>
      <c r="T409" s="6">
        <v>4204193</v>
      </c>
      <c r="U409" s="6">
        <v>3685281</v>
      </c>
    </row>
    <row r="410" spans="1:21" ht="15">
      <c r="A410" s="2" t="s">
        <v>818</v>
      </c>
      <c r="B410" s="5">
        <v>4064204</v>
      </c>
      <c r="C410" s="2" t="s">
        <v>819</v>
      </c>
      <c r="D410" s="6">
        <v>14495000</v>
      </c>
      <c r="E410" s="6">
        <v>15077542</v>
      </c>
      <c r="F410" s="6">
        <v>11820247</v>
      </c>
      <c r="G410" s="6">
        <v>11392469</v>
      </c>
      <c r="H410" s="6">
        <v>11166000</v>
      </c>
      <c r="I410" s="6">
        <v>12946000</v>
      </c>
      <c r="J410" s="6">
        <v>4415000</v>
      </c>
      <c r="K410" s="6">
        <v>4302000</v>
      </c>
      <c r="L410" s="6">
        <v>3761000</v>
      </c>
      <c r="M410" s="6">
        <v>3140000</v>
      </c>
      <c r="N410" s="6">
        <v>2204851</v>
      </c>
      <c r="O410" s="6">
        <v>1748499</v>
      </c>
      <c r="P410" s="6">
        <v>81370000</v>
      </c>
      <c r="Q410" s="6">
        <v>78844000</v>
      </c>
      <c r="R410" s="6">
        <v>76325000</v>
      </c>
      <c r="S410" s="6">
        <v>68636000</v>
      </c>
      <c r="T410" s="6">
        <v>51297843</v>
      </c>
      <c r="U410" s="6">
        <v>52893310</v>
      </c>
    </row>
    <row r="411" spans="1:21" ht="15">
      <c r="A411" s="2" t="s">
        <v>820</v>
      </c>
      <c r="B411" s="5">
        <v>4055767</v>
      </c>
      <c r="C411" s="2" t="s">
        <v>821</v>
      </c>
      <c r="D411" s="6">
        <v>469000</v>
      </c>
      <c r="E411" s="6">
        <v>154100</v>
      </c>
      <c r="F411" s="6">
        <v>362700</v>
      </c>
      <c r="G411" s="6">
        <v>432600</v>
      </c>
      <c r="H411" s="6">
        <v>397900</v>
      </c>
      <c r="I411" s="6">
        <v>337800</v>
      </c>
      <c r="J411" s="6">
        <v>2844300</v>
      </c>
      <c r="K411" s="6">
        <v>2824100</v>
      </c>
      <c r="L411" s="6">
        <v>2385400</v>
      </c>
      <c r="M411" s="6">
        <v>2859200</v>
      </c>
      <c r="N411" s="6">
        <v>3946700</v>
      </c>
      <c r="O411" s="6">
        <v>2935300</v>
      </c>
      <c r="P411" s="6">
        <v>7314800</v>
      </c>
      <c r="Q411" s="6">
        <v>7093600</v>
      </c>
      <c r="R411" s="6">
        <v>6460500</v>
      </c>
      <c r="S411" s="6">
        <v>6488400</v>
      </c>
      <c r="T411" s="6">
        <v>7671900</v>
      </c>
      <c r="U411" s="6">
        <v>6206700</v>
      </c>
    </row>
    <row r="412" spans="1:21" ht="15">
      <c r="A412" s="2" t="s">
        <v>822</v>
      </c>
      <c r="B412" s="5">
        <v>4965854</v>
      </c>
      <c r="C412" s="2" t="s">
        <v>823</v>
      </c>
      <c r="D412" s="6">
        <v>4105900</v>
      </c>
      <c r="E412" s="6">
        <v>177246</v>
      </c>
      <c r="F412" s="6">
        <v>191266</v>
      </c>
      <c r="G412" s="6">
        <v>250200</v>
      </c>
      <c r="H412" s="6">
        <v>3487000</v>
      </c>
      <c r="I412" s="6">
        <v>3534000</v>
      </c>
      <c r="J412" s="6">
        <v>445000</v>
      </c>
      <c r="K412" s="6">
        <v>520400</v>
      </c>
      <c r="L412" s="6">
        <v>555500</v>
      </c>
      <c r="M412" s="6">
        <v>671000</v>
      </c>
      <c r="N412" s="6">
        <v>757000</v>
      </c>
      <c r="O412" s="6">
        <v>493968</v>
      </c>
      <c r="P412" s="6">
        <v>5633600</v>
      </c>
      <c r="Q412" s="6">
        <v>5349600</v>
      </c>
      <c r="R412" s="6">
        <v>5349900</v>
      </c>
      <c r="S412" s="6">
        <v>3504800</v>
      </c>
      <c r="T412" s="6">
        <v>3372800</v>
      </c>
      <c r="U412" s="6">
        <v>3088970</v>
      </c>
    </row>
    <row r="413" spans="1:21" ht="15">
      <c r="A413" s="2" t="s">
        <v>824</v>
      </c>
      <c r="B413" s="5">
        <v>4112718</v>
      </c>
      <c r="C413" s="2" t="s">
        <v>825</v>
      </c>
      <c r="D413" s="6">
        <v>3899200</v>
      </c>
      <c r="E413" s="6">
        <v>4493300</v>
      </c>
      <c r="F413" s="6">
        <v>3440400</v>
      </c>
      <c r="G413" s="6">
        <v>3264900</v>
      </c>
      <c r="H413" s="6">
        <v>3294400</v>
      </c>
      <c r="I413" s="6">
        <v>8765700</v>
      </c>
      <c r="J413" s="6">
        <v>1571200</v>
      </c>
      <c r="K413" s="6">
        <v>1430300</v>
      </c>
      <c r="L413" s="6">
        <v>1354600</v>
      </c>
      <c r="M413" s="6">
        <v>1371100</v>
      </c>
      <c r="N413" s="6">
        <v>1276300</v>
      </c>
      <c r="O413" s="6">
        <v>366200</v>
      </c>
      <c r="P413" s="6">
        <v>7010700</v>
      </c>
      <c r="Q413" s="6">
        <v>6671200</v>
      </c>
      <c r="R413" s="6">
        <v>6660900</v>
      </c>
      <c r="S413" s="6">
        <v>6684500</v>
      </c>
      <c r="T413" s="6">
        <v>5746300</v>
      </c>
      <c r="U413" s="6">
        <v>4961400</v>
      </c>
    </row>
    <row r="414" spans="1:21" ht="15">
      <c r="A414" s="2" t="s">
        <v>826</v>
      </c>
      <c r="B414" s="5">
        <v>4276678</v>
      </c>
      <c r="C414" s="2" t="s">
        <v>827</v>
      </c>
      <c r="D414" s="6">
        <v>17546300</v>
      </c>
      <c r="E414" s="6">
        <v>7813900</v>
      </c>
      <c r="F414" s="6">
        <v>6643400</v>
      </c>
      <c r="G414" s="6">
        <v>11579400</v>
      </c>
      <c r="H414" s="6">
        <v>13032200</v>
      </c>
      <c r="I414" s="6">
        <v>14290200</v>
      </c>
      <c r="J414" s="6">
        <v>4846500</v>
      </c>
      <c r="K414" s="6">
        <v>4118400</v>
      </c>
      <c r="L414" s="6">
        <v>3955800</v>
      </c>
      <c r="M414" s="6">
        <v>2829800</v>
      </c>
      <c r="N414" s="6">
        <v>2191700</v>
      </c>
      <c r="O414" s="6">
        <v>2121800</v>
      </c>
      <c r="P414" s="6">
        <v>17028300</v>
      </c>
      <c r="Q414" s="6">
        <v>16381500</v>
      </c>
      <c r="R414" s="6">
        <v>16060300</v>
      </c>
      <c r="S414" s="6">
        <v>20929800</v>
      </c>
      <c r="T414" s="6">
        <v>16949800</v>
      </c>
      <c r="U414" s="6">
        <v>8260300</v>
      </c>
    </row>
    <row r="415" spans="1:21" ht="15">
      <c r="A415" s="2" t="s">
        <v>828</v>
      </c>
      <c r="B415" s="5">
        <v>4094305</v>
      </c>
      <c r="C415" s="2" t="s">
        <v>829</v>
      </c>
      <c r="D415" s="6">
        <v>20290000</v>
      </c>
      <c r="E415" s="6">
        <v>15109000</v>
      </c>
      <c r="F415" s="6">
        <v>16467000</v>
      </c>
      <c r="G415" s="6">
        <v>19154000</v>
      </c>
      <c r="H415" s="6">
        <v>19646000</v>
      </c>
      <c r="I415" s="6">
        <v>19875000</v>
      </c>
      <c r="J415" s="6">
        <v>8072000</v>
      </c>
      <c r="K415" s="6">
        <v>8720000</v>
      </c>
      <c r="L415" s="6">
        <v>8701000</v>
      </c>
      <c r="M415" s="6">
        <v>6660000</v>
      </c>
      <c r="N415" s="6">
        <v>11704000</v>
      </c>
      <c r="O415" s="6">
        <v>9093000</v>
      </c>
      <c r="P415" s="6">
        <v>104780000</v>
      </c>
      <c r="Q415" s="6">
        <v>106566000</v>
      </c>
      <c r="R415" s="6">
        <v>107412000</v>
      </c>
      <c r="S415" s="6">
        <v>109120000</v>
      </c>
      <c r="T415" s="6">
        <v>106005000</v>
      </c>
      <c r="U415" s="6">
        <v>93561000</v>
      </c>
    </row>
    <row r="416" spans="1:21" ht="15">
      <c r="A416" s="2" t="s">
        <v>830</v>
      </c>
      <c r="B416" s="5">
        <v>4558889</v>
      </c>
      <c r="C416" s="2" t="s">
        <v>831</v>
      </c>
      <c r="D416" s="6">
        <v>6378000</v>
      </c>
      <c r="E416" s="6">
        <v>4704000</v>
      </c>
      <c r="F416" s="6">
        <v>4633000</v>
      </c>
      <c r="G416" s="6">
        <v>4640000</v>
      </c>
      <c r="H416" s="6">
        <v>4619000</v>
      </c>
      <c r="I416" s="6">
        <v>4743000</v>
      </c>
      <c r="J416" s="6">
        <v>4206000</v>
      </c>
      <c r="K416" s="6">
        <v>3762000</v>
      </c>
      <c r="L416" s="6">
        <v>3452000</v>
      </c>
      <c r="M416" s="6">
        <v>3751000</v>
      </c>
      <c r="N416" s="6">
        <v>3479000</v>
      </c>
      <c r="O416" s="6">
        <v>2456000</v>
      </c>
      <c r="P416" s="6">
        <v>17262000</v>
      </c>
      <c r="Q416" s="6">
        <v>15845000</v>
      </c>
      <c r="R416" s="6">
        <v>16034000</v>
      </c>
      <c r="S416" s="6">
        <v>16281000</v>
      </c>
      <c r="T416" s="6">
        <v>14923000</v>
      </c>
      <c r="U416" s="6">
        <v>12172000</v>
      </c>
    </row>
    <row r="417" spans="1:21" ht="15">
      <c r="A417" s="2" t="s">
        <v>832</v>
      </c>
      <c r="B417" s="5">
        <v>4987124</v>
      </c>
      <c r="C417" s="2" t="s">
        <v>833</v>
      </c>
      <c r="D417" s="6">
        <v>2642100</v>
      </c>
      <c r="E417" s="6">
        <v>781800</v>
      </c>
      <c r="F417" s="6">
        <v>4267000</v>
      </c>
      <c r="G417" s="6">
        <v>4075900</v>
      </c>
      <c r="H417" s="6">
        <v>3398400</v>
      </c>
      <c r="I417" s="6">
        <v>2788800</v>
      </c>
      <c r="J417" s="6">
        <v>1497000</v>
      </c>
      <c r="K417" s="6">
        <v>1362300</v>
      </c>
      <c r="L417" s="6">
        <v>1363200</v>
      </c>
      <c r="M417" s="6">
        <v>1316000</v>
      </c>
      <c r="N417" s="6">
        <v>1113700</v>
      </c>
      <c r="O417" s="6">
        <v>608400</v>
      </c>
      <c r="P417" s="6">
        <v>6115400</v>
      </c>
      <c r="Q417" s="6">
        <v>5670000</v>
      </c>
      <c r="R417" s="6">
        <v>5635500</v>
      </c>
      <c r="S417" s="6">
        <v>5458600</v>
      </c>
      <c r="T417" s="6">
        <v>4614300</v>
      </c>
      <c r="U417" s="6">
        <v>3086200</v>
      </c>
    </row>
    <row r="418" spans="1:21" ht="15">
      <c r="A418" s="2" t="s">
        <v>834</v>
      </c>
      <c r="B418" s="5">
        <v>4071231</v>
      </c>
      <c r="C418" s="2" t="s">
        <v>835</v>
      </c>
      <c r="D418" s="6">
        <v>283239</v>
      </c>
      <c r="E418" s="6">
        <v>472757</v>
      </c>
      <c r="F418" s="6">
        <v>184581</v>
      </c>
      <c r="G418" s="6">
        <v>132885</v>
      </c>
      <c r="H418" s="6">
        <v>82614</v>
      </c>
      <c r="I418" s="6">
        <v>76621</v>
      </c>
      <c r="J418" s="6">
        <v>812014</v>
      </c>
      <c r="K418" s="6">
        <v>667714</v>
      </c>
      <c r="L418" s="6">
        <v>627099</v>
      </c>
      <c r="M418" s="6">
        <v>1008267</v>
      </c>
      <c r="N418" s="6">
        <v>1334381</v>
      </c>
      <c r="O418" s="6">
        <v>1023948</v>
      </c>
      <c r="P418" s="6">
        <v>3190024</v>
      </c>
      <c r="Q418" s="6">
        <v>2819880</v>
      </c>
      <c r="R418" s="6">
        <v>2676298</v>
      </c>
      <c r="S418" s="6">
        <v>3155045</v>
      </c>
      <c r="T418" s="6">
        <v>3702881</v>
      </c>
      <c r="U418" s="6">
        <v>3121469</v>
      </c>
    </row>
    <row r="419" spans="1:21" ht="15">
      <c r="A419" s="2" t="s">
        <v>836</v>
      </c>
      <c r="B419" s="5">
        <v>4574287</v>
      </c>
      <c r="C419" s="2" t="s">
        <v>837</v>
      </c>
      <c r="D419" s="6">
        <v>14719000</v>
      </c>
      <c r="E419" s="6">
        <v>13337000</v>
      </c>
      <c r="F419" s="6">
        <v>8873000</v>
      </c>
      <c r="G419" s="6">
        <v>5748000</v>
      </c>
      <c r="H419" s="6">
        <v>9573000</v>
      </c>
      <c r="I419" s="6">
        <v>13623000</v>
      </c>
      <c r="J419" s="6">
        <v>10503000</v>
      </c>
      <c r="K419" s="6">
        <v>13027000</v>
      </c>
      <c r="L419" s="6">
        <v>13558000</v>
      </c>
      <c r="M419" s="6">
        <v>17235000</v>
      </c>
      <c r="N419" s="6">
        <v>9434000</v>
      </c>
      <c r="O419" s="6">
        <v>4273000</v>
      </c>
      <c r="P419" s="6">
        <v>94827000</v>
      </c>
      <c r="Q419" s="6">
        <v>97690000</v>
      </c>
      <c r="R419" s="6">
        <v>96773000</v>
      </c>
      <c r="S419" s="6">
        <v>81462000</v>
      </c>
      <c r="T419" s="6">
        <v>53823000</v>
      </c>
      <c r="U419" s="6">
        <v>31536000</v>
      </c>
    </row>
    <row r="420" spans="1:21" ht="15">
      <c r="A420" s="2" t="s">
        <v>838</v>
      </c>
      <c r="B420" s="5">
        <v>4112734</v>
      </c>
      <c r="C420" s="2" t="s">
        <v>839</v>
      </c>
      <c r="D420" s="6">
        <v>14779000</v>
      </c>
      <c r="E420" s="6">
        <v>7119000</v>
      </c>
      <c r="F420" s="6">
        <v>8206000</v>
      </c>
      <c r="G420" s="6">
        <v>9154000</v>
      </c>
      <c r="H420" s="6">
        <v>11789000</v>
      </c>
      <c r="I420" s="6">
        <v>14377000</v>
      </c>
      <c r="J420" s="6">
        <v>8044000</v>
      </c>
      <c r="K420" s="6">
        <v>6858000</v>
      </c>
      <c r="L420" s="6">
        <v>8490000</v>
      </c>
      <c r="M420" s="6">
        <v>11412000</v>
      </c>
      <c r="N420" s="6">
        <v>9919000</v>
      </c>
      <c r="O420" s="6">
        <v>6658000</v>
      </c>
      <c r="P420" s="6">
        <v>17682000</v>
      </c>
      <c r="Q420" s="6">
        <v>15641000</v>
      </c>
      <c r="R420" s="6">
        <v>17519000</v>
      </c>
      <c r="S420" s="6">
        <v>20028000</v>
      </c>
      <c r="T420" s="6">
        <v>18344000</v>
      </c>
      <c r="U420" s="6">
        <v>14461000</v>
      </c>
    </row>
    <row r="421" spans="1:21" ht="15">
      <c r="A421" s="2" t="s">
        <v>840</v>
      </c>
      <c r="B421" s="5">
        <v>4783703</v>
      </c>
      <c r="C421" s="2" t="s">
        <v>841</v>
      </c>
      <c r="D421" s="6">
        <v>17788</v>
      </c>
      <c r="E421" s="6">
        <v>2026</v>
      </c>
      <c r="F421" s="6">
        <v>1445</v>
      </c>
      <c r="G421" s="6">
        <v>1955</v>
      </c>
      <c r="H421" s="6">
        <v>1170</v>
      </c>
      <c r="I421" s="6">
        <v>453</v>
      </c>
      <c r="J421" s="6">
        <v>655567</v>
      </c>
      <c r="K421" s="6">
        <v>569491</v>
      </c>
      <c r="L421" s="6">
        <v>501324</v>
      </c>
      <c r="M421" s="6">
        <v>578046</v>
      </c>
      <c r="N421" s="6">
        <v>378763</v>
      </c>
      <c r="O421" s="6">
        <v>231834</v>
      </c>
      <c r="P421" s="6">
        <v>798190</v>
      </c>
      <c r="Q421" s="6">
        <v>705823</v>
      </c>
      <c r="R421" s="6">
        <v>631595</v>
      </c>
      <c r="S421" s="6">
        <v>667422</v>
      </c>
      <c r="T421" s="6">
        <v>450958</v>
      </c>
      <c r="U421" s="6">
        <v>302564</v>
      </c>
    </row>
    <row r="422" spans="1:21" ht="15">
      <c r="A422" s="2" t="s">
        <v>842</v>
      </c>
      <c r="B422" s="5">
        <v>3002287</v>
      </c>
      <c r="C422" s="2" t="s">
        <v>843</v>
      </c>
      <c r="D422" s="6">
        <v>4282000</v>
      </c>
      <c r="E422" s="6">
        <v>4722000</v>
      </c>
      <c r="F422" s="6">
        <v>4148000</v>
      </c>
      <c r="G422" s="6">
        <v>3937000</v>
      </c>
      <c r="H422" s="6">
        <v>4255000</v>
      </c>
      <c r="I422" s="6">
        <v>3959000</v>
      </c>
      <c r="J422" s="6">
        <v>1650000</v>
      </c>
      <c r="K422" s="6">
        <v>1519000</v>
      </c>
      <c r="L422" s="6">
        <v>1670000</v>
      </c>
      <c r="M422" s="6">
        <v>1509000</v>
      </c>
      <c r="N422" s="6">
        <v>1395000</v>
      </c>
      <c r="O422" s="6">
        <v>1020000</v>
      </c>
      <c r="P422" s="6">
        <v>14799000</v>
      </c>
      <c r="Q422" s="6">
        <v>13702000</v>
      </c>
      <c r="R422" s="6">
        <v>13683000</v>
      </c>
      <c r="S422" s="6">
        <v>12869000</v>
      </c>
      <c r="T422" s="6">
        <v>12382000</v>
      </c>
      <c r="U422" s="6">
        <v>11651000</v>
      </c>
    </row>
    <row r="423" spans="1:21" ht="15">
      <c r="A423" s="2" t="s">
        <v>844</v>
      </c>
      <c r="B423" s="5">
        <v>4055465</v>
      </c>
      <c r="C423" s="2" t="s">
        <v>845</v>
      </c>
      <c r="D423" s="6">
        <v>30943000</v>
      </c>
      <c r="E423" s="6">
        <v>20191000</v>
      </c>
      <c r="F423" s="6">
        <v>19013000</v>
      </c>
      <c r="G423" s="6">
        <v>24560000</v>
      </c>
      <c r="H423" s="6">
        <v>28276000</v>
      </c>
      <c r="I423" s="6">
        <v>30353000</v>
      </c>
      <c r="J423" s="6">
        <v>3475000</v>
      </c>
      <c r="K423" s="6">
        <v>3280000</v>
      </c>
      <c r="L423" s="6">
        <v>3384000</v>
      </c>
      <c r="M423" s="6">
        <v>3418000</v>
      </c>
      <c r="N423" s="6">
        <v>3622000</v>
      </c>
      <c r="O423" s="6">
        <v>3596000</v>
      </c>
      <c r="P423" s="6">
        <v>12233000</v>
      </c>
      <c r="Q423" s="6">
        <v>12278000</v>
      </c>
      <c r="R423" s="6">
        <v>12668000</v>
      </c>
      <c r="S423" s="6">
        <v>12617000</v>
      </c>
      <c r="T423" s="6">
        <v>11141000</v>
      </c>
      <c r="U423" s="6">
        <v>9660000</v>
      </c>
    </row>
    <row r="424" spans="1:21" ht="15">
      <c r="A424" s="2" t="s">
        <v>846</v>
      </c>
      <c r="B424" s="5">
        <v>103247</v>
      </c>
      <c r="C424" s="2" t="s">
        <v>847</v>
      </c>
      <c r="D424" s="6">
        <v>7675000</v>
      </c>
      <c r="E424" s="6">
        <v>8336000</v>
      </c>
      <c r="F424" s="6">
        <v>8443000</v>
      </c>
      <c r="G424" s="6">
        <v>7964000</v>
      </c>
      <c r="H424" s="6">
        <v>8208000</v>
      </c>
      <c r="I424" s="6">
        <v>8321000</v>
      </c>
      <c r="J424" s="6">
        <v>12495000</v>
      </c>
      <c r="K424" s="6">
        <v>6777000</v>
      </c>
      <c r="L424" s="6">
        <v>904000</v>
      </c>
      <c r="M424" s="6">
        <v>-597000</v>
      </c>
      <c r="N424" s="6">
        <v>8081000</v>
      </c>
      <c r="O424" s="6">
        <v>9007000</v>
      </c>
      <c r="P424" s="6">
        <v>67685000</v>
      </c>
      <c r="Q424" s="6">
        <v>64106000</v>
      </c>
      <c r="R424" s="6">
        <v>57094000</v>
      </c>
      <c r="S424" s="6">
        <v>51411000</v>
      </c>
      <c r="T424" s="6">
        <v>50601000</v>
      </c>
      <c r="U424" s="6">
        <v>41909000</v>
      </c>
    </row>
    <row r="425" spans="1:21" ht="15">
      <c r="A425" s="2" t="s">
        <v>848</v>
      </c>
      <c r="B425" s="5">
        <v>100144</v>
      </c>
      <c r="C425" s="2" t="s">
        <v>849</v>
      </c>
      <c r="D425" s="6">
        <v>79236000</v>
      </c>
      <c r="E425" s="6">
        <v>69198000</v>
      </c>
      <c r="F425" s="6">
        <v>68281000</v>
      </c>
      <c r="G425" s="6">
        <v>70995000</v>
      </c>
      <c r="H425" s="6">
        <v>69850000</v>
      </c>
      <c r="I425" s="6">
        <v>69714000</v>
      </c>
      <c r="J425" s="7" t="s">
        <v>61</v>
      </c>
      <c r="K425" s="7" t="s">
        <v>61</v>
      </c>
      <c r="L425" s="7" t="s">
        <v>61</v>
      </c>
      <c r="M425" s="7" t="s">
        <v>61</v>
      </c>
      <c r="N425" s="7" t="s">
        <v>61</v>
      </c>
      <c r="O425" s="7" t="s">
        <v>61</v>
      </c>
      <c r="P425" s="6">
        <v>20004000</v>
      </c>
      <c r="Q425" s="6">
        <v>18450000</v>
      </c>
      <c r="R425" s="6">
        <v>16790000</v>
      </c>
      <c r="S425" s="6">
        <v>16490000</v>
      </c>
      <c r="T425" s="6">
        <v>16162000</v>
      </c>
      <c r="U425" s="6">
        <v>15472000</v>
      </c>
    </row>
    <row r="426" spans="1:21" ht="15">
      <c r="A426" s="2" t="s">
        <v>850</v>
      </c>
      <c r="B426" s="5">
        <v>4004086</v>
      </c>
      <c r="C426" s="2" t="s">
        <v>851</v>
      </c>
      <c r="D426" s="6">
        <v>56365000</v>
      </c>
      <c r="E426" s="6">
        <v>64935000</v>
      </c>
      <c r="F426" s="6">
        <v>59641000</v>
      </c>
      <c r="G426" s="6">
        <v>58582000</v>
      </c>
      <c r="H426" s="6">
        <v>54121000</v>
      </c>
      <c r="I426" s="6">
        <v>55958000</v>
      </c>
      <c r="J426" s="6">
        <v>-3238000</v>
      </c>
      <c r="K426" s="6">
        <v>-8183000</v>
      </c>
      <c r="L426" s="6">
        <v>2641000</v>
      </c>
      <c r="M426" s="6">
        <v>1162000</v>
      </c>
      <c r="N426" s="6">
        <v>1671000</v>
      </c>
      <c r="O426" s="6">
        <v>-6239000</v>
      </c>
      <c r="P426" s="6">
        <v>89463000</v>
      </c>
      <c r="Q426" s="6">
        <v>66517000</v>
      </c>
      <c r="R426" s="6">
        <v>77794000</v>
      </c>
      <c r="S426" s="6">
        <v>66608000</v>
      </c>
      <c r="T426" s="6">
        <v>62286000</v>
      </c>
      <c r="U426" s="6">
        <v>58158000</v>
      </c>
    </row>
    <row r="427" spans="1:21" ht="15">
      <c r="A427" s="2" t="s">
        <v>852</v>
      </c>
      <c r="B427" s="5">
        <v>4133211</v>
      </c>
      <c r="C427" s="2" t="s">
        <v>853</v>
      </c>
      <c r="D427" s="6">
        <v>7212000</v>
      </c>
      <c r="E427" s="6">
        <v>6447000</v>
      </c>
      <c r="F427" s="6">
        <v>5292000</v>
      </c>
      <c r="G427" s="6">
        <v>5050000</v>
      </c>
      <c r="H427" s="6">
        <v>4967000</v>
      </c>
      <c r="I427" s="6">
        <v>7542000</v>
      </c>
      <c r="J427" s="6">
        <v>1890000</v>
      </c>
      <c r="K427" s="6">
        <v>1783000</v>
      </c>
      <c r="L427" s="6">
        <v>1783000</v>
      </c>
      <c r="M427" s="6">
        <v>1531000</v>
      </c>
      <c r="N427" s="6">
        <v>1926000</v>
      </c>
      <c r="O427" s="6">
        <v>1617000</v>
      </c>
      <c r="P427" s="6">
        <v>10253000</v>
      </c>
      <c r="Q427" s="6">
        <v>9636000</v>
      </c>
      <c r="R427" s="6">
        <v>9357000</v>
      </c>
      <c r="S427" s="6">
        <v>8562000</v>
      </c>
      <c r="T427" s="6">
        <v>8476000</v>
      </c>
      <c r="U427" s="6">
        <v>8691000</v>
      </c>
    </row>
    <row r="428" spans="1:21" ht="15">
      <c r="A428" s="2" t="s">
        <v>854</v>
      </c>
      <c r="B428" s="5">
        <v>102775</v>
      </c>
      <c r="C428" s="2" t="s">
        <v>855</v>
      </c>
      <c r="D428" s="6">
        <v>56997000</v>
      </c>
      <c r="E428" s="6">
        <v>22214000</v>
      </c>
      <c r="F428" s="6">
        <v>31859000</v>
      </c>
      <c r="G428" s="6">
        <v>43072000</v>
      </c>
      <c r="H428" s="6">
        <v>65370000</v>
      </c>
      <c r="I428" s="6">
        <v>59011000</v>
      </c>
      <c r="J428" s="7" t="s">
        <v>61</v>
      </c>
      <c r="K428" s="7" t="s">
        <v>61</v>
      </c>
      <c r="L428" s="7" t="s">
        <v>61</v>
      </c>
      <c r="M428" s="7" t="s">
        <v>61</v>
      </c>
      <c r="N428" s="7" t="s">
        <v>61</v>
      </c>
      <c r="O428" s="7" t="s">
        <v>61</v>
      </c>
      <c r="P428" s="6">
        <v>23921000</v>
      </c>
      <c r="Q428" s="6">
        <v>19606000</v>
      </c>
      <c r="R428" s="6">
        <v>18934000</v>
      </c>
      <c r="S428" s="6">
        <v>20762000</v>
      </c>
      <c r="T428" s="6">
        <v>18520000</v>
      </c>
      <c r="U428" s="6">
        <v>11691000</v>
      </c>
    </row>
    <row r="429" spans="1:21" ht="15">
      <c r="A429" s="2" t="s">
        <v>856</v>
      </c>
      <c r="B429" s="5">
        <v>103339</v>
      </c>
      <c r="C429" s="2" t="s">
        <v>857</v>
      </c>
      <c r="D429" s="6">
        <v>31463000</v>
      </c>
      <c r="E429" s="6">
        <v>33562000</v>
      </c>
      <c r="F429" s="6">
        <v>34265000</v>
      </c>
      <c r="G429" s="6">
        <v>31553000</v>
      </c>
      <c r="H429" s="6">
        <v>30930000</v>
      </c>
      <c r="I429" s="6">
        <v>31972000</v>
      </c>
      <c r="J429" s="6">
        <v>12047000</v>
      </c>
      <c r="K429" s="6">
        <v>11446000</v>
      </c>
      <c r="L429" s="6">
        <v>10846000</v>
      </c>
      <c r="M429" s="6">
        <v>10436000</v>
      </c>
      <c r="N429" s="6">
        <v>9963000</v>
      </c>
      <c r="O429" s="6">
        <v>10368000</v>
      </c>
      <c r="P429" s="6">
        <v>274900000</v>
      </c>
      <c r="Q429" s="6">
        <v>247121000</v>
      </c>
      <c r="R429" s="6">
        <v>195265000</v>
      </c>
      <c r="S429" s="6">
        <v>180518000</v>
      </c>
      <c r="T429" s="6">
        <v>174069000</v>
      </c>
      <c r="U429" s="6">
        <v>160401000</v>
      </c>
    </row>
    <row r="430" spans="1:21" ht="15">
      <c r="A430" s="2" t="s">
        <v>858</v>
      </c>
      <c r="B430" s="5">
        <v>4091914</v>
      </c>
      <c r="C430" s="2" t="s">
        <v>859</v>
      </c>
      <c r="D430" s="6">
        <v>2916000</v>
      </c>
      <c r="E430" s="6">
        <v>3136000</v>
      </c>
      <c r="F430" s="6">
        <v>3186000</v>
      </c>
      <c r="G430" s="6">
        <v>3122000</v>
      </c>
      <c r="H430" s="6">
        <v>2954000</v>
      </c>
      <c r="I430" s="6">
        <v>2937000</v>
      </c>
      <c r="J430" s="6">
        <v>1397000</v>
      </c>
      <c r="K430" s="6">
        <v>1146000</v>
      </c>
      <c r="L430" s="6">
        <v>1038000</v>
      </c>
      <c r="M430" s="6">
        <v>928000</v>
      </c>
      <c r="N430" s="6">
        <v>1437000</v>
      </c>
      <c r="O430" s="6">
        <v>1426000</v>
      </c>
      <c r="P430" s="6">
        <v>7104000</v>
      </c>
      <c r="Q430" s="6">
        <v>7093000</v>
      </c>
      <c r="R430" s="6">
        <v>7389000</v>
      </c>
      <c r="S430" s="6">
        <v>7107000</v>
      </c>
      <c r="T430" s="6">
        <v>7341000</v>
      </c>
      <c r="U430" s="6">
        <v>6721000</v>
      </c>
    </row>
    <row r="431" spans="1:21" ht="15">
      <c r="A431" s="2" t="s">
        <v>860</v>
      </c>
      <c r="B431" s="5">
        <v>4202062</v>
      </c>
      <c r="C431" s="2" t="s">
        <v>861</v>
      </c>
      <c r="D431" s="6">
        <v>47914000</v>
      </c>
      <c r="E431" s="6">
        <v>44420000</v>
      </c>
      <c r="F431" s="6">
        <v>44246000</v>
      </c>
      <c r="G431" s="6">
        <v>42279000</v>
      </c>
      <c r="H431" s="6">
        <v>44539000</v>
      </c>
      <c r="I431" s="6">
        <v>46657000</v>
      </c>
      <c r="J431" s="6">
        <v>16078000</v>
      </c>
      <c r="K431" s="6">
        <v>15367000</v>
      </c>
      <c r="L431" s="6">
        <v>14374000</v>
      </c>
      <c r="M431" s="6">
        <v>13601000</v>
      </c>
      <c r="N431" s="6">
        <v>12885000</v>
      </c>
      <c r="O431" s="6">
        <v>11528000</v>
      </c>
      <c r="P431" s="6">
        <v>47941000</v>
      </c>
      <c r="Q431" s="6">
        <v>47061000</v>
      </c>
      <c r="R431" s="6">
        <v>45754000</v>
      </c>
      <c r="S431" s="6">
        <v>43004000</v>
      </c>
      <c r="T431" s="6">
        <v>38655000</v>
      </c>
      <c r="U431" s="6">
        <v>33014000</v>
      </c>
    </row>
    <row r="432" spans="1:21" ht="15">
      <c r="A432" s="2" t="s">
        <v>862</v>
      </c>
      <c r="B432" s="5">
        <v>4578418</v>
      </c>
      <c r="C432" s="2" t="s">
        <v>863</v>
      </c>
      <c r="D432" s="6">
        <v>2783600</v>
      </c>
      <c r="E432" s="6">
        <v>2080400</v>
      </c>
      <c r="F432" s="6">
        <v>1748400</v>
      </c>
      <c r="G432" s="6">
        <v>3004400</v>
      </c>
      <c r="H432" s="6">
        <v>2823000</v>
      </c>
      <c r="I432" s="6">
        <v>2853100</v>
      </c>
      <c r="J432" s="6">
        <v>1064100</v>
      </c>
      <c r="K432" s="6">
        <v>1083000</v>
      </c>
      <c r="L432" s="6">
        <v>872200</v>
      </c>
      <c r="M432" s="6">
        <v>851600</v>
      </c>
      <c r="N432" s="6">
        <v>883900</v>
      </c>
      <c r="O432" s="6">
        <v>600500</v>
      </c>
      <c r="P432" s="6">
        <v>4092400</v>
      </c>
      <c r="Q432" s="6">
        <v>3895400</v>
      </c>
      <c r="R432" s="6">
        <v>3593200</v>
      </c>
      <c r="S432" s="6">
        <v>3308400</v>
      </c>
      <c r="T432" s="6">
        <v>2922500</v>
      </c>
      <c r="U432" s="6">
        <v>2430900</v>
      </c>
    </row>
    <row r="433" spans="1:21" ht="15">
      <c r="A433" s="2" t="s">
        <v>864</v>
      </c>
      <c r="B433" s="5">
        <v>4913043</v>
      </c>
      <c r="C433" s="2" t="s">
        <v>865</v>
      </c>
      <c r="D433" s="6">
        <v>9467000</v>
      </c>
      <c r="E433" s="6">
        <v>8792000</v>
      </c>
      <c r="F433" s="6">
        <v>8099000</v>
      </c>
      <c r="G433" s="6">
        <v>7645000</v>
      </c>
      <c r="H433" s="6">
        <v>10169000</v>
      </c>
      <c r="I433" s="6">
        <v>9826000</v>
      </c>
      <c r="J433" s="6">
        <v>1960000</v>
      </c>
      <c r="K433" s="6">
        <v>2403000</v>
      </c>
      <c r="L433" s="6">
        <v>2530000</v>
      </c>
      <c r="M433" s="6">
        <v>4282000</v>
      </c>
      <c r="N433" s="6">
        <v>3661000</v>
      </c>
      <c r="O433" s="6">
        <v>2712000</v>
      </c>
      <c r="P433" s="6">
        <v>14326000</v>
      </c>
      <c r="Q433" s="6">
        <v>15608000</v>
      </c>
      <c r="R433" s="6">
        <v>15910000</v>
      </c>
      <c r="S433" s="6">
        <v>17737000</v>
      </c>
      <c r="T433" s="6">
        <v>16215000</v>
      </c>
      <c r="U433" s="6">
        <v>14294000</v>
      </c>
    </row>
    <row r="434" spans="1:21" ht="15">
      <c r="A434" s="2" t="s">
        <v>866</v>
      </c>
      <c r="B434" s="5">
        <v>4039450</v>
      </c>
      <c r="C434" s="2" t="s">
        <v>867</v>
      </c>
      <c r="D434" s="6">
        <v>747583000</v>
      </c>
      <c r="E434" s="6">
        <v>501172000</v>
      </c>
      <c r="F434" s="6">
        <v>586220000</v>
      </c>
      <c r="G434" s="6">
        <v>520010000</v>
      </c>
      <c r="H434" s="6">
        <v>700372000</v>
      </c>
      <c r="I434" s="6">
        <v>747975000</v>
      </c>
      <c r="J434" s="7" t="s">
        <v>61</v>
      </c>
      <c r="K434" s="7" t="s">
        <v>61</v>
      </c>
      <c r="L434" s="7" t="s">
        <v>61</v>
      </c>
      <c r="M434" s="7" t="s">
        <v>61</v>
      </c>
      <c r="N434" s="7" t="s">
        <v>61</v>
      </c>
      <c r="O434" s="7" t="s">
        <v>61</v>
      </c>
      <c r="P434" s="6">
        <v>59396000</v>
      </c>
      <c r="Q434" s="6">
        <v>52164000</v>
      </c>
      <c r="R434" s="6">
        <v>45226000</v>
      </c>
      <c r="S434" s="6">
        <v>44650000</v>
      </c>
      <c r="T434" s="6">
        <v>58982000</v>
      </c>
      <c r="U434" s="6">
        <v>41462000</v>
      </c>
    </row>
    <row r="435" spans="1:21" ht="15">
      <c r="A435" s="2" t="s">
        <v>868</v>
      </c>
      <c r="B435" s="5">
        <v>103647</v>
      </c>
      <c r="C435" s="2" t="s">
        <v>869</v>
      </c>
      <c r="D435" s="6">
        <v>4543000</v>
      </c>
      <c r="E435" s="6">
        <v>4643000</v>
      </c>
      <c r="F435" s="6">
        <v>5173000</v>
      </c>
      <c r="G435" s="6">
        <v>4499000</v>
      </c>
      <c r="H435" s="6">
        <v>4512000</v>
      </c>
      <c r="I435" s="6">
        <v>4511000</v>
      </c>
      <c r="J435" s="6">
        <v>5232000</v>
      </c>
      <c r="K435" s="6">
        <v>4323000</v>
      </c>
      <c r="L435" s="6">
        <v>3744000</v>
      </c>
      <c r="M435" s="6">
        <v>3029000</v>
      </c>
      <c r="N435" s="6">
        <v>3719000</v>
      </c>
      <c r="O435" s="6">
        <v>2920000</v>
      </c>
      <c r="P435" s="6">
        <v>28376000</v>
      </c>
      <c r="Q435" s="6">
        <v>26560000</v>
      </c>
      <c r="R435" s="6">
        <v>24553000</v>
      </c>
      <c r="S435" s="6">
        <v>22356000</v>
      </c>
      <c r="T435" s="6">
        <v>22349000</v>
      </c>
      <c r="U435" s="6">
        <v>20494000</v>
      </c>
    </row>
    <row r="436" spans="1:21" ht="15">
      <c r="A436" s="2" t="s">
        <v>870</v>
      </c>
      <c r="B436" s="5">
        <v>4914369</v>
      </c>
      <c r="C436" s="2" t="s">
        <v>871</v>
      </c>
      <c r="D436" s="6">
        <v>5738575</v>
      </c>
      <c r="E436" s="6">
        <v>4821074</v>
      </c>
      <c r="F436" s="6">
        <v>5376085</v>
      </c>
      <c r="G436" s="6">
        <v>5117981</v>
      </c>
      <c r="H436" s="6">
        <v>5125612</v>
      </c>
      <c r="I436" s="6">
        <v>5447554</v>
      </c>
      <c r="J436" s="6">
        <v>1975125</v>
      </c>
      <c r="K436" s="6">
        <v>3448375</v>
      </c>
      <c r="L436" s="6">
        <v>2956112</v>
      </c>
      <c r="M436" s="6">
        <v>2625697</v>
      </c>
      <c r="N436" s="6">
        <v>2370146</v>
      </c>
      <c r="O436" s="6">
        <v>2102758</v>
      </c>
      <c r="P436" s="6">
        <v>11692576</v>
      </c>
      <c r="Q436" s="6">
        <v>11202263</v>
      </c>
      <c r="R436" s="6">
        <v>11164992</v>
      </c>
      <c r="S436" s="6">
        <v>10419294</v>
      </c>
      <c r="T436" s="6">
        <v>8971337</v>
      </c>
      <c r="U436" s="6">
        <v>8149719</v>
      </c>
    </row>
    <row r="437" spans="1:21" ht="15">
      <c r="A437" s="2" t="s">
        <v>872</v>
      </c>
      <c r="B437" s="5">
        <v>4004135</v>
      </c>
      <c r="C437" s="2" t="s">
        <v>873</v>
      </c>
      <c r="D437" s="6">
        <v>65909000</v>
      </c>
      <c r="E437" s="6">
        <v>43422000</v>
      </c>
      <c r="F437" s="6">
        <v>46269000</v>
      </c>
      <c r="G437" s="6">
        <v>51142000</v>
      </c>
      <c r="H437" s="6">
        <v>53101000</v>
      </c>
      <c r="I437" s="6">
        <v>63085000</v>
      </c>
      <c r="J437" s="6">
        <v>25011000</v>
      </c>
      <c r="K437" s="6">
        <v>25287000</v>
      </c>
      <c r="L437" s="6">
        <v>24936000</v>
      </c>
      <c r="M437" s="6">
        <v>27014000</v>
      </c>
      <c r="N437" s="6">
        <v>25902000</v>
      </c>
      <c r="O437" s="6">
        <v>20797000</v>
      </c>
      <c r="P437" s="6">
        <v>164683000</v>
      </c>
      <c r="Q437" s="6">
        <v>159514000</v>
      </c>
      <c r="R437" s="6">
        <v>152669000</v>
      </c>
      <c r="S437" s="6">
        <v>157403000</v>
      </c>
      <c r="T437" s="6">
        <v>151157000</v>
      </c>
      <c r="U437" s="6">
        <v>132110000</v>
      </c>
    </row>
    <row r="438" spans="1:21" ht="15">
      <c r="A438" s="2" t="s">
        <v>874</v>
      </c>
      <c r="B438" s="5">
        <v>4912995</v>
      </c>
      <c r="C438" s="2" t="s">
        <v>875</v>
      </c>
      <c r="D438" s="6">
        <v>7811700</v>
      </c>
      <c r="E438" s="6">
        <v>5783500</v>
      </c>
      <c r="F438" s="6">
        <v>4909900</v>
      </c>
      <c r="G438" s="6">
        <v>4610800</v>
      </c>
      <c r="H438" s="6">
        <v>4428000</v>
      </c>
      <c r="I438" s="6">
        <v>8559100</v>
      </c>
      <c r="J438" s="6">
        <v>2156200</v>
      </c>
      <c r="K438" s="6">
        <v>1874100</v>
      </c>
      <c r="L438" s="6">
        <v>1603100</v>
      </c>
      <c r="M438" s="6">
        <v>1636800</v>
      </c>
      <c r="N438" s="6">
        <v>1825200</v>
      </c>
      <c r="O438" s="6">
        <v>1731000</v>
      </c>
      <c r="P438" s="6">
        <v>8726100</v>
      </c>
      <c r="Q438" s="6">
        <v>8178700</v>
      </c>
      <c r="R438" s="6">
        <v>8529200</v>
      </c>
      <c r="S438" s="6">
        <v>7998900</v>
      </c>
      <c r="T438" s="6">
        <v>8002700</v>
      </c>
      <c r="U438" s="6">
        <v>7801000</v>
      </c>
    </row>
    <row r="439" spans="1:21" ht="15">
      <c r="A439" s="2" t="s">
        <v>876</v>
      </c>
      <c r="B439" s="5">
        <v>4384788</v>
      </c>
      <c r="C439" s="2" t="s">
        <v>877</v>
      </c>
      <c r="D439" s="6">
        <v>21772000</v>
      </c>
      <c r="E439" s="6">
        <v>29152000</v>
      </c>
      <c r="F439" s="6">
        <v>22647000</v>
      </c>
      <c r="G439" s="6">
        <v>20867000</v>
      </c>
      <c r="H439" s="6">
        <v>20649000</v>
      </c>
      <c r="I439" s="6">
        <v>20450000</v>
      </c>
      <c r="J439" s="6">
        <v>5727000</v>
      </c>
      <c r="K439" s="6">
        <v>6467000</v>
      </c>
      <c r="L439" s="6">
        <v>6202000</v>
      </c>
      <c r="M439" s="6">
        <v>5999000</v>
      </c>
      <c r="N439" s="6">
        <v>6370000</v>
      </c>
      <c r="O439" s="6">
        <v>6842000</v>
      </c>
      <c r="P439" s="6">
        <v>24942000</v>
      </c>
      <c r="Q439" s="6">
        <v>25846000</v>
      </c>
      <c r="R439" s="6">
        <v>26640000</v>
      </c>
      <c r="S439" s="6">
        <v>26485000</v>
      </c>
      <c r="T439" s="6">
        <v>26042000</v>
      </c>
      <c r="U439" s="6">
        <v>26185000</v>
      </c>
    </row>
    <row r="440" spans="1:21" ht="15">
      <c r="A440" s="2" t="s">
        <v>878</v>
      </c>
      <c r="B440" s="5">
        <v>4004136</v>
      </c>
      <c r="C440" s="2" t="s">
        <v>879</v>
      </c>
      <c r="D440" s="6">
        <v>24692000</v>
      </c>
      <c r="E440" s="6">
        <v>20587000</v>
      </c>
      <c r="F440" s="6">
        <v>20499000</v>
      </c>
      <c r="G440" s="6">
        <v>20554000</v>
      </c>
      <c r="H440" s="6">
        <v>19250000</v>
      </c>
      <c r="I440" s="6">
        <v>25082000</v>
      </c>
      <c r="J440" s="6">
        <v>8091000</v>
      </c>
      <c r="K440" s="6">
        <v>7856000</v>
      </c>
      <c r="L440" s="6">
        <v>8084000</v>
      </c>
      <c r="M440" s="6">
        <v>7495000</v>
      </c>
      <c r="N440" s="6">
        <v>6592000</v>
      </c>
      <c r="O440" s="6">
        <v>5993000</v>
      </c>
      <c r="P440" s="6">
        <v>147642000</v>
      </c>
      <c r="Q440" s="6">
        <v>147123000</v>
      </c>
      <c r="R440" s="6">
        <v>150039000</v>
      </c>
      <c r="S440" s="6">
        <v>148258000</v>
      </c>
      <c r="T440" s="6">
        <v>137888000</v>
      </c>
      <c r="U440" s="6">
        <v>132498000</v>
      </c>
    </row>
    <row r="441" spans="1:21" ht="15">
      <c r="A441" s="2" t="s">
        <v>880</v>
      </c>
      <c r="B441" s="5">
        <v>4097833</v>
      </c>
      <c r="C441" s="2" t="s">
        <v>881</v>
      </c>
      <c r="D441" s="6">
        <v>5279500</v>
      </c>
      <c r="E441" s="6">
        <v>4751700</v>
      </c>
      <c r="F441" s="6">
        <v>4405600</v>
      </c>
      <c r="G441" s="6">
        <v>3808000</v>
      </c>
      <c r="H441" s="6">
        <v>3994800</v>
      </c>
      <c r="I441" s="6">
        <v>4449800</v>
      </c>
      <c r="J441" s="6">
        <v>2258300</v>
      </c>
      <c r="K441" s="6">
        <v>1758200</v>
      </c>
      <c r="L441" s="6">
        <v>2338300</v>
      </c>
      <c r="M441" s="6">
        <v>5800800</v>
      </c>
      <c r="N441" s="6">
        <v>3511400</v>
      </c>
      <c r="O441" s="6">
        <v>1249500</v>
      </c>
      <c r="P441" s="6">
        <v>12052400</v>
      </c>
      <c r="Q441" s="6">
        <v>11122800</v>
      </c>
      <c r="R441" s="6">
        <v>13696100</v>
      </c>
      <c r="S441" s="6">
        <v>19125200</v>
      </c>
      <c r="T441" s="6">
        <v>12357400</v>
      </c>
      <c r="U441" s="6">
        <v>8681700</v>
      </c>
    </row>
    <row r="442" spans="1:21" ht="15">
      <c r="A442" s="2" t="s">
        <v>882</v>
      </c>
      <c r="B442" s="5">
        <v>100406</v>
      </c>
      <c r="C442" s="2" t="s">
        <v>883</v>
      </c>
      <c r="D442" s="6">
        <v>60759000</v>
      </c>
      <c r="E442" s="6">
        <v>39876000</v>
      </c>
      <c r="F442" s="6">
        <v>33989000</v>
      </c>
      <c r="G442" s="6">
        <v>65397000</v>
      </c>
      <c r="H442" s="6">
        <v>78273000</v>
      </c>
      <c r="I442" s="6">
        <v>66711000</v>
      </c>
      <c r="J442" s="7" t="s">
        <v>61</v>
      </c>
      <c r="K442" s="7" t="s">
        <v>61</v>
      </c>
      <c r="L442" s="7" t="s">
        <v>61</v>
      </c>
      <c r="M442" s="7" t="s">
        <v>61</v>
      </c>
      <c r="N442" s="7" t="s">
        <v>61</v>
      </c>
      <c r="O442" s="7" t="s">
        <v>61</v>
      </c>
      <c r="P442" s="6">
        <v>22320000</v>
      </c>
      <c r="Q442" s="6">
        <v>20766000</v>
      </c>
      <c r="R442" s="6">
        <v>20748000</v>
      </c>
      <c r="S442" s="6">
        <v>20643000</v>
      </c>
      <c r="T442" s="6">
        <v>19990000</v>
      </c>
      <c r="U442" s="6">
        <v>13726000</v>
      </c>
    </row>
    <row r="443" spans="1:21" ht="15">
      <c r="A443" s="2" t="s">
        <v>884</v>
      </c>
      <c r="B443" s="5">
        <v>4004124</v>
      </c>
      <c r="C443" s="2" t="s">
        <v>885</v>
      </c>
      <c r="D443" s="6">
        <v>36526000</v>
      </c>
      <c r="E443" s="6">
        <v>35611000</v>
      </c>
      <c r="F443" s="6">
        <v>32838000</v>
      </c>
      <c r="G443" s="6">
        <v>32293000</v>
      </c>
      <c r="H443" s="6">
        <v>36500000</v>
      </c>
      <c r="I443" s="6">
        <v>33725000</v>
      </c>
      <c r="J443" s="6">
        <v>24455000</v>
      </c>
      <c r="K443" s="6">
        <v>23844000</v>
      </c>
      <c r="L443" s="6">
        <v>21451000</v>
      </c>
      <c r="M443" s="6">
        <v>21252000</v>
      </c>
      <c r="N443" s="6">
        <v>21218000</v>
      </c>
      <c r="O443" s="6">
        <v>19116000</v>
      </c>
      <c r="P443" s="6">
        <v>84284000</v>
      </c>
      <c r="Q443" s="6">
        <v>84039000</v>
      </c>
      <c r="R443" s="6">
        <v>82006000</v>
      </c>
      <c r="S443" s="6">
        <v>80187000</v>
      </c>
      <c r="T443" s="6">
        <v>76118000</v>
      </c>
      <c r="U443" s="6">
        <v>70950000</v>
      </c>
    </row>
    <row r="444" spans="1:21" ht="15">
      <c r="A444" s="2" t="s">
        <v>886</v>
      </c>
      <c r="B444" s="5">
        <v>103383</v>
      </c>
      <c r="C444" s="2" t="s">
        <v>887</v>
      </c>
      <c r="D444" s="6">
        <v>7102000</v>
      </c>
      <c r="E444" s="6">
        <v>5575100</v>
      </c>
      <c r="F444" s="6">
        <v>5079700</v>
      </c>
      <c r="G444" s="6">
        <v>6388300</v>
      </c>
      <c r="H444" s="6">
        <v>7066000</v>
      </c>
      <c r="I444" s="6">
        <v>7089000</v>
      </c>
      <c r="J444" s="6">
        <v>14814000</v>
      </c>
      <c r="K444" s="6">
        <v>11276000</v>
      </c>
      <c r="L444" s="6">
        <v>5457000</v>
      </c>
      <c r="M444" s="6">
        <v>1697000</v>
      </c>
      <c r="N444" s="6">
        <v>4766000</v>
      </c>
      <c r="O444" s="6">
        <v>7722000</v>
      </c>
      <c r="P444" s="6">
        <v>87637000</v>
      </c>
      <c r="Q444" s="6">
        <v>75343000</v>
      </c>
      <c r="R444" s="6">
        <v>62083000</v>
      </c>
      <c r="S444" s="6">
        <v>49587000</v>
      </c>
      <c r="T444" s="6">
        <v>47676500</v>
      </c>
      <c r="U444" s="6">
        <v>42638100</v>
      </c>
    </row>
    <row r="445" spans="1:21" ht="15">
      <c r="A445" s="2" t="s">
        <v>888</v>
      </c>
      <c r="B445" s="5">
        <v>4191577</v>
      </c>
      <c r="C445" s="2" t="s">
        <v>889</v>
      </c>
      <c r="D445" s="6">
        <v>14073600</v>
      </c>
      <c r="E445" s="6">
        <v>10113500</v>
      </c>
      <c r="F445" s="6">
        <v>11495400</v>
      </c>
      <c r="G445" s="6">
        <v>12714900</v>
      </c>
      <c r="H445" s="6">
        <v>12337900</v>
      </c>
      <c r="I445" s="6">
        <v>12868200</v>
      </c>
      <c r="J445" s="6">
        <v>4486600</v>
      </c>
      <c r="K445" s="6">
        <v>4399000</v>
      </c>
      <c r="L445" s="6">
        <v>4250000</v>
      </c>
      <c r="M445" s="6">
        <v>3577700</v>
      </c>
      <c r="N445" s="6">
        <v>3232900</v>
      </c>
      <c r="O445" s="6">
        <v>3430700</v>
      </c>
      <c r="P445" s="6">
        <v>23574300</v>
      </c>
      <c r="Q445" s="6">
        <v>23098500</v>
      </c>
      <c r="R445" s="6">
        <v>23051900</v>
      </c>
      <c r="S445" s="6">
        <v>22148900</v>
      </c>
      <c r="T445" s="6">
        <v>19944600</v>
      </c>
      <c r="U445" s="6">
        <v>18361700</v>
      </c>
    </row>
    <row r="446" spans="1:21" ht="15">
      <c r="A446" s="2" t="s">
        <v>890</v>
      </c>
      <c r="B446" s="5">
        <v>4004298</v>
      </c>
      <c r="C446" s="2" t="s">
        <v>891</v>
      </c>
      <c r="D446" s="6">
        <v>74075000</v>
      </c>
      <c r="E446" s="6">
        <v>51041000</v>
      </c>
      <c r="F446" s="6">
        <v>55470000</v>
      </c>
      <c r="G446" s="6">
        <v>59135000</v>
      </c>
      <c r="H446" s="6">
        <v>63490000</v>
      </c>
      <c r="I446" s="6">
        <v>66277000</v>
      </c>
      <c r="J446" s="6">
        <v>13927000</v>
      </c>
      <c r="K446" s="6">
        <v>12944000</v>
      </c>
      <c r="L446" s="6">
        <v>11407000</v>
      </c>
      <c r="M446" s="6">
        <v>10090000</v>
      </c>
      <c r="N446" s="6">
        <v>8242000</v>
      </c>
      <c r="O446" s="6">
        <v>9140000</v>
      </c>
      <c r="P446" s="6">
        <v>29553000</v>
      </c>
      <c r="Q446" s="6">
        <v>26724000</v>
      </c>
      <c r="R446" s="6">
        <v>25253000</v>
      </c>
      <c r="S446" s="6">
        <v>29279000</v>
      </c>
      <c r="T446" s="6">
        <v>23113000</v>
      </c>
      <c r="U446" s="6">
        <v>20375000</v>
      </c>
    </row>
    <row r="447" spans="1:21" ht="15">
      <c r="A447" s="2" t="s">
        <v>892</v>
      </c>
      <c r="B447" s="5">
        <v>4074192</v>
      </c>
      <c r="C447" s="2" t="s">
        <v>893</v>
      </c>
      <c r="D447" s="6">
        <v>13489000</v>
      </c>
      <c r="E447" s="6">
        <v>15503426</v>
      </c>
      <c r="F447" s="6">
        <v>12508000</v>
      </c>
      <c r="G447" s="6">
        <v>12744000</v>
      </c>
      <c r="H447" s="6">
        <v>12542000</v>
      </c>
      <c r="I447" s="6">
        <v>12778000</v>
      </c>
      <c r="J447" s="6">
        <v>8425000</v>
      </c>
      <c r="K447" s="6">
        <v>7406000</v>
      </c>
      <c r="L447" s="6">
        <v>6761000</v>
      </c>
      <c r="M447" s="6">
        <v>5747000</v>
      </c>
      <c r="N447" s="6">
        <v>5623000</v>
      </c>
      <c r="O447" s="6">
        <v>1453000</v>
      </c>
      <c r="P447" s="6">
        <v>60372000</v>
      </c>
      <c r="Q447" s="6">
        <v>56360000</v>
      </c>
      <c r="R447" s="6">
        <v>54217000</v>
      </c>
      <c r="S447" s="6">
        <v>49936000</v>
      </c>
      <c r="T447" s="6">
        <v>48550000</v>
      </c>
      <c r="U447" s="6">
        <v>32137000</v>
      </c>
    </row>
    <row r="448" spans="1:21" ht="15">
      <c r="A448" s="2" t="s">
        <v>894</v>
      </c>
      <c r="B448" s="5">
        <v>4844112</v>
      </c>
      <c r="C448" s="2" t="s">
        <v>895</v>
      </c>
      <c r="D448" s="6">
        <v>436330</v>
      </c>
      <c r="E448" s="6">
        <v>292430</v>
      </c>
      <c r="F448" s="6">
        <v>284598</v>
      </c>
      <c r="G448" s="6">
        <v>260957</v>
      </c>
      <c r="H448" s="6">
        <v>235893</v>
      </c>
      <c r="I448" s="6">
        <v>312215</v>
      </c>
      <c r="J448" s="6">
        <v>690105</v>
      </c>
      <c r="K448" s="6">
        <v>498657</v>
      </c>
      <c r="L448" s="6">
        <v>266898</v>
      </c>
      <c r="M448" s="6">
        <v>161079</v>
      </c>
      <c r="N448" s="6">
        <v>162036</v>
      </c>
      <c r="O448" s="6">
        <v>166840</v>
      </c>
      <c r="P448" s="6">
        <v>2896284</v>
      </c>
      <c r="Q448" s="6">
        <v>2444831</v>
      </c>
      <c r="R448" s="6">
        <v>1946120</v>
      </c>
      <c r="S448" s="6">
        <v>1577795</v>
      </c>
      <c r="T448" s="6">
        <v>1196467</v>
      </c>
      <c r="U448" s="6">
        <v>836033</v>
      </c>
    </row>
    <row r="449" spans="1:21" ht="15">
      <c r="A449" s="2" t="s">
        <v>896</v>
      </c>
      <c r="B449" s="5">
        <v>4055530</v>
      </c>
      <c r="C449" s="2" t="s">
        <v>897</v>
      </c>
      <c r="D449" s="6">
        <v>9512000</v>
      </c>
      <c r="E449" s="6">
        <v>6550000</v>
      </c>
      <c r="F449" s="6">
        <v>7290000</v>
      </c>
      <c r="G449" s="6">
        <v>7292000</v>
      </c>
      <c r="H449" s="6">
        <v>8031000</v>
      </c>
      <c r="I449" s="6">
        <v>8033000</v>
      </c>
      <c r="J449" s="6">
        <v>8901000</v>
      </c>
      <c r="K449" s="6">
        <v>7287000</v>
      </c>
      <c r="L449" s="6">
        <v>4469000</v>
      </c>
      <c r="M449" s="6">
        <v>4531000</v>
      </c>
      <c r="N449" s="6">
        <v>5668000</v>
      </c>
      <c r="O449" s="6">
        <v>4365000</v>
      </c>
      <c r="P449" s="6">
        <v>48828000</v>
      </c>
      <c r="Q449" s="6">
        <v>46423000</v>
      </c>
      <c r="R449" s="6">
        <v>41364000</v>
      </c>
      <c r="S449" s="6">
        <v>36884000</v>
      </c>
      <c r="T449" s="6">
        <v>34816000</v>
      </c>
      <c r="U449" s="6">
        <v>31981000</v>
      </c>
    </row>
    <row r="450" spans="1:21" ht="15">
      <c r="A450" s="2" t="s">
        <v>898</v>
      </c>
      <c r="B450" s="5">
        <v>4097175</v>
      </c>
      <c r="C450" s="2" t="s">
        <v>899</v>
      </c>
      <c r="D450" s="6">
        <v>45423000</v>
      </c>
      <c r="E450" s="6">
        <v>62323000</v>
      </c>
      <c r="F450" s="6">
        <v>58313000</v>
      </c>
      <c r="G450" s="6">
        <v>52259000</v>
      </c>
      <c r="H450" s="6">
        <v>50672000</v>
      </c>
      <c r="I450" s="6">
        <v>49517000</v>
      </c>
      <c r="J450" s="6">
        <v>19419000</v>
      </c>
      <c r="K450" s="6">
        <v>17308000</v>
      </c>
      <c r="L450" s="6">
        <v>14701000</v>
      </c>
      <c r="M450" s="6">
        <v>11995000</v>
      </c>
      <c r="N450" s="6">
        <v>8603000</v>
      </c>
      <c r="O450" s="6">
        <v>9126000</v>
      </c>
      <c r="P450" s="6">
        <v>94425000</v>
      </c>
      <c r="Q450" s="6">
        <v>91361000</v>
      </c>
      <c r="R450" s="6">
        <v>88898000</v>
      </c>
      <c r="S450" s="6">
        <v>82722000</v>
      </c>
      <c r="T450" s="6">
        <v>67418000</v>
      </c>
      <c r="U450" s="6">
        <v>65388000</v>
      </c>
    </row>
    <row r="451" spans="1:21" ht="15">
      <c r="A451" s="2" t="s">
        <v>900</v>
      </c>
      <c r="B451" s="5">
        <v>4011165</v>
      </c>
      <c r="C451" s="2" t="s">
        <v>901</v>
      </c>
      <c r="D451" s="6">
        <v>29544000</v>
      </c>
      <c r="E451" s="6">
        <v>22533000</v>
      </c>
      <c r="F451" s="6">
        <v>23839000</v>
      </c>
      <c r="G451" s="6">
        <v>23077000</v>
      </c>
      <c r="H451" s="6">
        <v>26610000</v>
      </c>
      <c r="I451" s="6">
        <v>27079000</v>
      </c>
      <c r="J451" s="6">
        <v>6777000</v>
      </c>
      <c r="K451" s="6">
        <v>5596000</v>
      </c>
      <c r="L451" s="6">
        <v>6297000</v>
      </c>
      <c r="M451" s="6">
        <v>5036000</v>
      </c>
      <c r="N451" s="6">
        <v>4481000</v>
      </c>
      <c r="O451" s="6">
        <v>4281000</v>
      </c>
      <c r="P451" s="6">
        <v>11830000</v>
      </c>
      <c r="Q451" s="6">
        <v>10753000</v>
      </c>
      <c r="R451" s="6">
        <v>9951000</v>
      </c>
      <c r="S451" s="6">
        <v>11352000</v>
      </c>
      <c r="T451" s="6">
        <v>10775000</v>
      </c>
      <c r="U451" s="6">
        <v>7724000</v>
      </c>
    </row>
    <row r="452" spans="1:21" ht="15">
      <c r="A452" s="2" t="s">
        <v>902</v>
      </c>
      <c r="B452" s="5">
        <v>4072879</v>
      </c>
      <c r="C452" s="2" t="s">
        <v>903</v>
      </c>
      <c r="D452" s="6">
        <v>41359000</v>
      </c>
      <c r="E452" s="6">
        <v>22591000</v>
      </c>
      <c r="F452" s="6">
        <v>36339000</v>
      </c>
      <c r="G452" s="6">
        <v>36158000</v>
      </c>
      <c r="H452" s="6">
        <v>36711000</v>
      </c>
      <c r="I452" s="6">
        <v>32832000</v>
      </c>
      <c r="J452" s="6">
        <v>11138000</v>
      </c>
      <c r="K452" s="6">
        <v>10835000</v>
      </c>
      <c r="L452" s="6">
        <v>10728000</v>
      </c>
      <c r="M452" s="6">
        <v>11941000</v>
      </c>
      <c r="N452" s="6">
        <v>12964000</v>
      </c>
      <c r="O452" s="6">
        <v>10192000</v>
      </c>
      <c r="P452" s="6">
        <v>44556000</v>
      </c>
      <c r="Q452" s="6">
        <v>42879000</v>
      </c>
      <c r="R452" s="6">
        <v>42857000</v>
      </c>
      <c r="S452" s="6">
        <v>44915000</v>
      </c>
      <c r="T452" s="6">
        <v>39211000</v>
      </c>
      <c r="U452" s="6">
        <v>32218000</v>
      </c>
    </row>
    <row r="453" spans="1:21" ht="15">
      <c r="A453" s="2" t="s">
        <v>904</v>
      </c>
      <c r="B453" s="5">
        <v>4156939</v>
      </c>
      <c r="C453" s="2" t="s">
        <v>905</v>
      </c>
      <c r="D453" s="6">
        <v>4063035</v>
      </c>
      <c r="E453" s="7" t="s">
        <v>61</v>
      </c>
      <c r="F453" s="6">
        <v>2851817</v>
      </c>
      <c r="G453" s="6">
        <v>2783385</v>
      </c>
      <c r="H453" s="6">
        <v>3026895</v>
      </c>
      <c r="I453" s="6">
        <v>3083317</v>
      </c>
      <c r="J453" s="6">
        <v>1375823</v>
      </c>
      <c r="K453" s="6">
        <v>929234</v>
      </c>
      <c r="L453" s="6">
        <v>705160</v>
      </c>
      <c r="M453" s="6">
        <v>604419</v>
      </c>
      <c r="N453" s="6">
        <v>454387</v>
      </c>
      <c r="O453" s="6">
        <v>419730</v>
      </c>
      <c r="P453" s="6">
        <v>4735151</v>
      </c>
      <c r="Q453" s="6">
        <v>4884241</v>
      </c>
      <c r="R453" s="6">
        <v>3224796</v>
      </c>
      <c r="S453" s="6">
        <v>1140147</v>
      </c>
      <c r="T453" s="6">
        <v>1031944</v>
      </c>
      <c r="U453" s="6">
        <v>891154</v>
      </c>
    </row>
    <row r="454" spans="1:21" ht="15">
      <c r="A454" s="2" t="s">
        <v>906</v>
      </c>
      <c r="B454" s="5">
        <v>4091145</v>
      </c>
      <c r="C454" s="2" t="s">
        <v>907</v>
      </c>
      <c r="D454" s="6">
        <v>123646000</v>
      </c>
      <c r="E454" s="6">
        <v>107247000</v>
      </c>
      <c r="F454" s="6">
        <v>109195000</v>
      </c>
      <c r="G454" s="6">
        <v>113066000</v>
      </c>
      <c r="H454" s="6">
        <v>114380000</v>
      </c>
      <c r="I454" s="6">
        <v>114958000</v>
      </c>
      <c r="J454" s="6">
        <v>32821000</v>
      </c>
      <c r="K454" s="6">
        <v>31106000</v>
      </c>
      <c r="L454" s="6">
        <v>28163000</v>
      </c>
      <c r="M454" s="6">
        <v>26633000</v>
      </c>
      <c r="N454" s="6">
        <v>26382000</v>
      </c>
      <c r="O454" s="6">
        <v>23578000</v>
      </c>
      <c r="P454" s="6">
        <v>88309000</v>
      </c>
      <c r="Q454" s="6">
        <v>81400000</v>
      </c>
      <c r="R454" s="6">
        <v>78558000</v>
      </c>
      <c r="S454" s="6">
        <v>79571000</v>
      </c>
      <c r="T454" s="6">
        <v>80118000</v>
      </c>
      <c r="U454" s="6">
        <v>68397000</v>
      </c>
    </row>
    <row r="455" spans="1:21" ht="15">
      <c r="A455" s="2" t="s">
        <v>908</v>
      </c>
      <c r="B455" s="5">
        <v>4071364</v>
      </c>
      <c r="C455" s="2" t="s">
        <v>909</v>
      </c>
      <c r="D455" s="6">
        <v>5942869</v>
      </c>
      <c r="E455" s="6">
        <v>3541574</v>
      </c>
      <c r="F455" s="6">
        <v>3919294</v>
      </c>
      <c r="G455" s="6">
        <v>4270160</v>
      </c>
      <c r="H455" s="6">
        <v>5035982</v>
      </c>
      <c r="I455" s="6">
        <v>5424417</v>
      </c>
      <c r="J455" s="6">
        <v>1961400</v>
      </c>
      <c r="K455" s="6">
        <v>1914694</v>
      </c>
      <c r="L455" s="6">
        <v>1871961</v>
      </c>
      <c r="M455" s="6">
        <v>1778005</v>
      </c>
      <c r="N455" s="6">
        <v>1576856</v>
      </c>
      <c r="O455" s="6">
        <v>1288103</v>
      </c>
      <c r="P455" s="6">
        <v>15524046</v>
      </c>
      <c r="Q455" s="6">
        <v>14883231</v>
      </c>
      <c r="R455" s="6">
        <v>14555741</v>
      </c>
      <c r="S455" s="6">
        <v>14204717</v>
      </c>
      <c r="T455" s="6">
        <v>12731105</v>
      </c>
      <c r="U455" s="6">
        <v>10620352</v>
      </c>
    </row>
    <row r="456" spans="1:21" ht="15">
      <c r="A456" s="2" t="s">
        <v>910</v>
      </c>
      <c r="B456" s="5">
        <v>4402486</v>
      </c>
      <c r="C456" s="2" t="s">
        <v>911</v>
      </c>
      <c r="D456" s="6">
        <v>5439800</v>
      </c>
      <c r="E456" s="6">
        <v>5687400</v>
      </c>
      <c r="F456" s="6">
        <v>5285400</v>
      </c>
      <c r="G456" s="6">
        <v>5305600</v>
      </c>
      <c r="H456" s="6">
        <v>5302500</v>
      </c>
      <c r="I456" s="6">
        <v>5385000</v>
      </c>
      <c r="J456" s="6">
        <v>4212900</v>
      </c>
      <c r="K456" s="6">
        <v>3804700</v>
      </c>
      <c r="L456" s="6">
        <v>3136300</v>
      </c>
      <c r="M456" s="6">
        <v>2649100</v>
      </c>
      <c r="N456" s="6">
        <v>2275400</v>
      </c>
      <c r="O456" s="6">
        <v>1762200</v>
      </c>
      <c r="P456" s="6">
        <v>21321900</v>
      </c>
      <c r="Q456" s="6">
        <v>19838200</v>
      </c>
      <c r="R456" s="6">
        <v>17677600</v>
      </c>
      <c r="S456" s="6">
        <v>15991700</v>
      </c>
      <c r="T456" s="6">
        <v>14136400</v>
      </c>
      <c r="U456" s="6">
        <v>12454700</v>
      </c>
    </row>
    <row r="457" spans="1:21" ht="15">
      <c r="A457" s="2" t="s">
        <v>912</v>
      </c>
      <c r="B457" s="5">
        <v>4421633</v>
      </c>
      <c r="C457" s="2" t="s">
        <v>913</v>
      </c>
      <c r="D457" s="6">
        <v>30084000</v>
      </c>
      <c r="E457" s="6">
        <v>20502000</v>
      </c>
      <c r="F457" s="6">
        <v>20377000</v>
      </c>
      <c r="G457" s="6">
        <v>19952000</v>
      </c>
      <c r="H457" s="6">
        <v>19821000</v>
      </c>
      <c r="I457" s="6">
        <v>24950000</v>
      </c>
      <c r="J457" s="6">
        <v>4566000</v>
      </c>
      <c r="K457" s="6">
        <v>3910000</v>
      </c>
      <c r="L457" s="6">
        <v>3191000</v>
      </c>
      <c r="M457" s="6">
        <v>2472000</v>
      </c>
      <c r="N457" s="6">
        <v>1958000</v>
      </c>
      <c r="O457" s="6">
        <v>2046000</v>
      </c>
      <c r="P457" s="6">
        <v>8831000</v>
      </c>
      <c r="Q457" s="6">
        <v>7940000</v>
      </c>
      <c r="R457" s="6">
        <v>6585000</v>
      </c>
      <c r="S457" s="6">
        <v>5429000</v>
      </c>
      <c r="T457" s="6">
        <v>4798000</v>
      </c>
      <c r="U457" s="6">
        <v>5103000</v>
      </c>
    </row>
    <row r="458" spans="1:21" ht="15">
      <c r="A458" s="2" t="s">
        <v>914</v>
      </c>
      <c r="B458" s="5">
        <v>4104139</v>
      </c>
      <c r="C458" s="2" t="s">
        <v>915</v>
      </c>
      <c r="D458" s="6">
        <v>1561100</v>
      </c>
      <c r="E458" s="6">
        <v>1690200</v>
      </c>
      <c r="F458" s="6">
        <v>1449600</v>
      </c>
      <c r="G458" s="6">
        <v>1660100</v>
      </c>
      <c r="H458" s="6">
        <v>3217600</v>
      </c>
      <c r="I458" s="6">
        <v>1535200</v>
      </c>
      <c r="J458" s="6">
        <v>818000</v>
      </c>
      <c r="K458" s="6">
        <v>712200</v>
      </c>
      <c r="L458" s="6">
        <v>745000</v>
      </c>
      <c r="M458" s="6">
        <v>712900</v>
      </c>
      <c r="N458" s="6">
        <v>751200</v>
      </c>
      <c r="O458" s="6">
        <v>665700</v>
      </c>
      <c r="P458" s="6">
        <v>3587300</v>
      </c>
      <c r="Q458" s="6">
        <v>3683300</v>
      </c>
      <c r="R458" s="6">
        <v>3798700</v>
      </c>
      <c r="S458" s="6">
        <v>3676300</v>
      </c>
      <c r="T458" s="6">
        <v>3659100</v>
      </c>
      <c r="U458" s="6">
        <v>3147700</v>
      </c>
    </row>
    <row r="459" spans="1:21" ht="15">
      <c r="A459" s="2" t="s">
        <v>916</v>
      </c>
      <c r="B459" s="5">
        <v>100438</v>
      </c>
      <c r="C459" s="2" t="s">
        <v>917</v>
      </c>
      <c r="D459" s="6">
        <v>72875000</v>
      </c>
      <c r="E459" s="6">
        <v>48140000</v>
      </c>
      <c r="F459" s="6">
        <v>43391000</v>
      </c>
      <c r="G459" s="6">
        <v>71141000</v>
      </c>
      <c r="H459" s="6">
        <v>67730000</v>
      </c>
      <c r="I459" s="6">
        <v>67748000</v>
      </c>
      <c r="J459" s="7" t="s">
        <v>61</v>
      </c>
      <c r="K459" s="7" t="s">
        <v>61</v>
      </c>
      <c r="L459" s="7" t="s">
        <v>61</v>
      </c>
      <c r="M459" s="7" t="s">
        <v>61</v>
      </c>
      <c r="N459" s="7" t="s">
        <v>61</v>
      </c>
      <c r="O459" s="7" t="s">
        <v>61</v>
      </c>
      <c r="P459" s="6">
        <v>18425000</v>
      </c>
      <c r="Q459" s="6">
        <v>11408000</v>
      </c>
      <c r="R459" s="6">
        <v>17913000</v>
      </c>
      <c r="S459" s="6">
        <v>19196000</v>
      </c>
      <c r="T459" s="6">
        <v>23109000</v>
      </c>
      <c r="U459" s="6">
        <v>20370000</v>
      </c>
    </row>
    <row r="460" spans="1:21" ht="15">
      <c r="A460" s="2" t="s">
        <v>918</v>
      </c>
      <c r="B460" s="5">
        <v>4964207</v>
      </c>
      <c r="C460" s="2" t="s">
        <v>919</v>
      </c>
      <c r="D460" s="6">
        <v>642608</v>
      </c>
      <c r="E460" s="6">
        <v>22183</v>
      </c>
      <c r="F460" s="6">
        <v>1388172</v>
      </c>
      <c r="G460" s="6">
        <v>1046174</v>
      </c>
      <c r="H460" s="6">
        <v>696889</v>
      </c>
      <c r="I460" s="6">
        <v>638368</v>
      </c>
      <c r="J460" s="6">
        <v>434788</v>
      </c>
      <c r="K460" s="6">
        <v>385592</v>
      </c>
      <c r="L460" s="6">
        <v>322999</v>
      </c>
      <c r="M460" s="6">
        <v>313198</v>
      </c>
      <c r="N460" s="6">
        <v>268433</v>
      </c>
      <c r="O460" s="6">
        <v>221421</v>
      </c>
      <c r="P460" s="6">
        <v>2332340</v>
      </c>
      <c r="Q460" s="6">
        <v>2137803</v>
      </c>
      <c r="R460" s="6">
        <v>1951751</v>
      </c>
      <c r="S460" s="6">
        <v>1850204</v>
      </c>
      <c r="T460" s="6">
        <v>1592287</v>
      </c>
      <c r="U460" s="6">
        <v>1116663</v>
      </c>
    </row>
    <row r="461" spans="1:21" ht="15">
      <c r="A461" s="2" t="s">
        <v>920</v>
      </c>
      <c r="B461" s="5">
        <v>3009699</v>
      </c>
      <c r="C461" s="2" t="s">
        <v>921</v>
      </c>
      <c r="D461" s="6">
        <v>9695000</v>
      </c>
      <c r="E461" s="6">
        <v>11868000</v>
      </c>
      <c r="F461" s="6">
        <v>9871000</v>
      </c>
      <c r="G461" s="6">
        <v>8816000</v>
      </c>
      <c r="H461" s="6">
        <v>10035000</v>
      </c>
      <c r="I461" s="6">
        <v>10481000</v>
      </c>
      <c r="J461" s="6">
        <v>2828000</v>
      </c>
      <c r="K461" s="6">
        <v>3150000</v>
      </c>
      <c r="L461" s="6">
        <v>2082000</v>
      </c>
      <c r="M461" s="6">
        <v>5642000</v>
      </c>
      <c r="N461" s="6">
        <v>5615000</v>
      </c>
      <c r="O461" s="6">
        <v>4290000</v>
      </c>
      <c r="P461" s="6">
        <v>54441000</v>
      </c>
      <c r="Q461" s="6">
        <v>53309000</v>
      </c>
      <c r="R461" s="6">
        <v>52881000</v>
      </c>
      <c r="S461" s="6">
        <v>53282000</v>
      </c>
      <c r="T461" s="6">
        <v>47049000</v>
      </c>
      <c r="U461" s="6">
        <v>43185000</v>
      </c>
    </row>
    <row r="462" spans="1:21" ht="15">
      <c r="A462" s="2" t="s">
        <v>922</v>
      </c>
      <c r="B462" s="5">
        <v>4047176</v>
      </c>
      <c r="C462" s="2" t="s">
        <v>923</v>
      </c>
      <c r="D462" s="6">
        <v>82745000</v>
      </c>
      <c r="E462" s="6">
        <v>55653000</v>
      </c>
      <c r="F462" s="6">
        <v>46530000</v>
      </c>
      <c r="G462" s="6">
        <v>77193000</v>
      </c>
      <c r="H462" s="6">
        <v>71348000</v>
      </c>
      <c r="I462" s="6">
        <v>78731000</v>
      </c>
      <c r="J462" s="7" t="s">
        <v>61</v>
      </c>
      <c r="K462" s="7" t="s">
        <v>61</v>
      </c>
      <c r="L462" s="7" t="s">
        <v>61</v>
      </c>
      <c r="M462" s="7" t="s">
        <v>61</v>
      </c>
      <c r="N462" s="7" t="s">
        <v>61</v>
      </c>
      <c r="O462" s="7" t="s">
        <v>61</v>
      </c>
      <c r="P462" s="6">
        <v>26354000</v>
      </c>
      <c r="Q462" s="6">
        <v>25097000</v>
      </c>
      <c r="R462" s="6">
        <v>25738000</v>
      </c>
      <c r="S462" s="6">
        <v>22207000</v>
      </c>
      <c r="T462" s="6">
        <v>23894000</v>
      </c>
      <c r="U462" s="6">
        <v>19242000</v>
      </c>
    </row>
    <row r="463" spans="1:21" ht="15">
      <c r="A463" s="2" t="s">
        <v>924</v>
      </c>
      <c r="B463" s="5">
        <v>4398745</v>
      </c>
      <c r="C463" s="2" t="s">
        <v>925</v>
      </c>
      <c r="D463" s="6">
        <v>12302000</v>
      </c>
      <c r="E463" s="6">
        <v>10254000</v>
      </c>
      <c r="F463" s="6">
        <v>11604000</v>
      </c>
      <c r="G463" s="6">
        <v>11717000</v>
      </c>
      <c r="H463" s="6">
        <v>11702000</v>
      </c>
      <c r="I463" s="6">
        <v>11436000</v>
      </c>
      <c r="J463" s="6">
        <v>6312000</v>
      </c>
      <c r="K463" s="6">
        <v>3536000</v>
      </c>
      <c r="L463" s="6">
        <v>1933000</v>
      </c>
      <c r="M463" s="6">
        <v>-885000</v>
      </c>
      <c r="N463" s="6">
        <v>-2932000</v>
      </c>
      <c r="O463" s="6">
        <v>-3926000</v>
      </c>
      <c r="P463" s="6">
        <v>52017000</v>
      </c>
      <c r="Q463" s="6">
        <v>43978000</v>
      </c>
      <c r="R463" s="6">
        <v>37281000</v>
      </c>
      <c r="S463" s="6">
        <v>31877000</v>
      </c>
      <c r="T463" s="6">
        <v>17455000</v>
      </c>
      <c r="U463" s="6">
        <v>11139000</v>
      </c>
    </row>
    <row r="464" spans="1:21" ht="15">
      <c r="A464" s="2" t="s">
        <v>926</v>
      </c>
      <c r="B464" s="5">
        <v>103025</v>
      </c>
      <c r="C464" s="2" t="s">
        <v>927</v>
      </c>
      <c r="D464" s="6">
        <v>6004332</v>
      </c>
      <c r="E464" s="6">
        <v>5172307</v>
      </c>
      <c r="F464" s="6">
        <v>5605275</v>
      </c>
      <c r="G464" s="6">
        <v>5676541</v>
      </c>
      <c r="H464" s="6">
        <v>5984545</v>
      </c>
      <c r="I464" s="6">
        <v>6009240</v>
      </c>
      <c r="J464" s="6">
        <v>1035198</v>
      </c>
      <c r="K464" s="6">
        <v>1003089</v>
      </c>
      <c r="L464" s="6">
        <v>979984</v>
      </c>
      <c r="M464" s="6">
        <v>916172</v>
      </c>
      <c r="N464" s="6">
        <v>768743</v>
      </c>
      <c r="O464" s="6">
        <v>766130</v>
      </c>
      <c r="P464" s="6">
        <v>1748905</v>
      </c>
      <c r="Q464" s="6">
        <v>1700177</v>
      </c>
      <c r="R464" s="6">
        <v>1632194</v>
      </c>
      <c r="S464" s="6">
        <v>1522333</v>
      </c>
      <c r="T464" s="6">
        <v>1307513</v>
      </c>
      <c r="U464" s="6">
        <v>1260009</v>
      </c>
    </row>
    <row r="465" spans="1:21" ht="15">
      <c r="A465" s="2" t="s">
        <v>928</v>
      </c>
      <c r="B465" s="5">
        <v>4107935</v>
      </c>
      <c r="C465" s="2" t="s">
        <v>929</v>
      </c>
      <c r="D465" s="6">
        <v>2182061</v>
      </c>
      <c r="E465" s="6">
        <v>1896801</v>
      </c>
      <c r="F465" s="6">
        <v>1846756</v>
      </c>
      <c r="G465" s="6">
        <v>1903176</v>
      </c>
      <c r="H465" s="6">
        <v>1911092</v>
      </c>
      <c r="I465" s="6">
        <v>1923234</v>
      </c>
      <c r="J465" s="6">
        <v>1833560</v>
      </c>
      <c r="K465" s="6">
        <v>1831708</v>
      </c>
      <c r="L465" s="6">
        <v>1920980</v>
      </c>
      <c r="M465" s="6">
        <v>1878968</v>
      </c>
      <c r="N465" s="6">
        <v>1565026</v>
      </c>
      <c r="O465" s="6">
        <v>647988</v>
      </c>
      <c r="P465" s="6">
        <v>12392820</v>
      </c>
      <c r="Q465" s="6">
        <v>11295654</v>
      </c>
      <c r="R465" s="6">
        <v>11207303</v>
      </c>
      <c r="S465" s="6">
        <v>10208580</v>
      </c>
      <c r="T465" s="6">
        <v>8630889</v>
      </c>
      <c r="U465" s="6">
        <v>6151953</v>
      </c>
    </row>
    <row r="466" spans="1:21" ht="15">
      <c r="A466" s="2" t="s">
        <v>930</v>
      </c>
      <c r="B466" s="5">
        <v>4004099</v>
      </c>
      <c r="C466" s="2" t="s">
        <v>931</v>
      </c>
      <c r="D466" s="6">
        <v>32822000</v>
      </c>
      <c r="E466" s="6">
        <v>28333000</v>
      </c>
      <c r="F466" s="6">
        <v>31488000</v>
      </c>
      <c r="G466" s="6">
        <v>34957000</v>
      </c>
      <c r="H466" s="6">
        <v>34179000</v>
      </c>
      <c r="I466" s="6">
        <v>32463000</v>
      </c>
      <c r="J466" s="6">
        <v>12438000</v>
      </c>
      <c r="K466" s="6">
        <v>12166000</v>
      </c>
      <c r="L466" s="6">
        <v>11452000</v>
      </c>
      <c r="M466" s="6">
        <v>12247000</v>
      </c>
      <c r="N466" s="6">
        <v>11571000</v>
      </c>
      <c r="O466" s="6">
        <v>10085000</v>
      </c>
      <c r="P466" s="6">
        <v>24510000</v>
      </c>
      <c r="Q466" s="6">
        <v>24250000</v>
      </c>
      <c r="R466" s="6">
        <v>24119000</v>
      </c>
      <c r="S466" s="6">
        <v>24875000</v>
      </c>
      <c r="T466" s="6">
        <v>21804000</v>
      </c>
      <c r="U466" s="6">
        <v>19533000</v>
      </c>
    </row>
    <row r="467" spans="1:21" ht="15">
      <c r="A467" s="2" t="s">
        <v>932</v>
      </c>
      <c r="B467" s="5">
        <v>4994529</v>
      </c>
      <c r="C467" s="2" t="s">
        <v>933</v>
      </c>
      <c r="D467" s="6">
        <v>31036000</v>
      </c>
      <c r="E467" s="6">
        <v>33909000</v>
      </c>
      <c r="F467" s="6">
        <v>41063000</v>
      </c>
      <c r="G467" s="6">
        <v>37300000</v>
      </c>
      <c r="H467" s="6">
        <v>36739000</v>
      </c>
      <c r="I467" s="6">
        <v>33633000</v>
      </c>
      <c r="J467" s="6">
        <v>7755000</v>
      </c>
      <c r="K467" s="6">
        <v>7915000</v>
      </c>
      <c r="L467" s="6">
        <v>7692000</v>
      </c>
      <c r="M467" s="6">
        <v>4857000</v>
      </c>
      <c r="N467" s="6">
        <v>-2027000</v>
      </c>
      <c r="O467" s="6">
        <v>-6588000</v>
      </c>
      <c r="P467" s="6">
        <v>59070000</v>
      </c>
      <c r="Q467" s="6">
        <v>57063000</v>
      </c>
      <c r="R467" s="6">
        <v>53717000</v>
      </c>
      <c r="S467" s="6">
        <v>44955000</v>
      </c>
      <c r="T467" s="6">
        <v>24634000</v>
      </c>
      <c r="U467" s="6">
        <v>15355000</v>
      </c>
    </row>
    <row r="468" spans="1:21" ht="15">
      <c r="A468" s="2" t="s">
        <v>934</v>
      </c>
      <c r="B468" s="5">
        <v>4051574</v>
      </c>
      <c r="C468" s="2" t="s">
        <v>935</v>
      </c>
      <c r="D468" s="6">
        <v>28590000</v>
      </c>
      <c r="E468" s="6">
        <v>27768000</v>
      </c>
      <c r="F468" s="6">
        <v>25538000</v>
      </c>
      <c r="G468" s="6">
        <v>23526000</v>
      </c>
      <c r="H468" s="6">
        <v>26729000</v>
      </c>
      <c r="I468" s="6">
        <v>25652000</v>
      </c>
      <c r="J468" s="6">
        <v>12212000</v>
      </c>
      <c r="K468" s="6">
        <v>11620000</v>
      </c>
      <c r="L468" s="6">
        <v>12910000</v>
      </c>
      <c r="M468" s="6">
        <v>17502000</v>
      </c>
      <c r="N468" s="6">
        <v>15821000</v>
      </c>
      <c r="O468" s="6">
        <v>10366000</v>
      </c>
      <c r="P468" s="6">
        <v>88661000</v>
      </c>
      <c r="Q468" s="6">
        <v>91070000</v>
      </c>
      <c r="R468" s="6">
        <v>90958000</v>
      </c>
      <c r="S468" s="6">
        <v>100338000</v>
      </c>
      <c r="T468" s="6">
        <v>97287000</v>
      </c>
      <c r="U468" s="6">
        <v>84628000</v>
      </c>
    </row>
    <row r="469" spans="1:21" ht="15">
      <c r="A469" s="2" t="s">
        <v>936</v>
      </c>
      <c r="B469" s="5">
        <v>4086110</v>
      </c>
      <c r="C469" s="2" t="s">
        <v>937</v>
      </c>
      <c r="D469" s="6">
        <v>15670000</v>
      </c>
      <c r="E469" s="6">
        <v>10409000</v>
      </c>
      <c r="F469" s="6">
        <v>10508000</v>
      </c>
      <c r="G469" s="6">
        <v>12223000</v>
      </c>
      <c r="H469" s="6">
        <v>12662000</v>
      </c>
      <c r="I469" s="6">
        <v>14789000</v>
      </c>
      <c r="J469" s="6">
        <v>4455000</v>
      </c>
      <c r="K469" s="6">
        <v>4568000</v>
      </c>
      <c r="L469" s="6">
        <v>4394000</v>
      </c>
      <c r="M469" s="6">
        <v>3623000</v>
      </c>
      <c r="N469" s="6">
        <v>2691000</v>
      </c>
      <c r="O469" s="6">
        <v>2253000</v>
      </c>
      <c r="P469" s="6">
        <v>16099000</v>
      </c>
      <c r="Q469" s="6">
        <v>15345000</v>
      </c>
      <c r="R469" s="6">
        <v>14332000</v>
      </c>
      <c r="S469" s="6">
        <v>11642000</v>
      </c>
      <c r="T469" s="6">
        <v>9716000</v>
      </c>
      <c r="U469" s="6">
        <v>8530000</v>
      </c>
    </row>
    <row r="470" spans="1:21" ht="15">
      <c r="A470" s="2" t="s">
        <v>938</v>
      </c>
      <c r="B470" s="5">
        <v>111568</v>
      </c>
      <c r="C470" s="2" t="s">
        <v>939</v>
      </c>
      <c r="D470" s="6">
        <v>83004000</v>
      </c>
      <c r="E470" s="6">
        <v>43467000</v>
      </c>
      <c r="F470" s="6">
        <v>46003000</v>
      </c>
      <c r="G470" s="6">
        <v>57623000</v>
      </c>
      <c r="H470" s="6">
        <v>62537000</v>
      </c>
      <c r="I470" s="6">
        <v>76904000</v>
      </c>
      <c r="J470" s="6">
        <v>21625000</v>
      </c>
      <c r="K470" s="6">
        <v>34986000</v>
      </c>
      <c r="L470" s="6">
        <v>35130000</v>
      </c>
      <c r="M470" s="6">
        <v>30835000</v>
      </c>
      <c r="N470" s="6">
        <v>26173000</v>
      </c>
      <c r="O470" s="6">
        <v>24496000</v>
      </c>
      <c r="P470" s="6">
        <v>447567000</v>
      </c>
      <c r="Q470" s="6">
        <v>400278000</v>
      </c>
      <c r="R470" s="6">
        <v>371622000</v>
      </c>
      <c r="S470" s="6">
        <v>324162000</v>
      </c>
      <c r="T470" s="6">
        <v>287597000</v>
      </c>
      <c r="U470" s="6">
        <v>257141000</v>
      </c>
    </row>
    <row r="471" spans="1:21" ht="15">
      <c r="A471" s="2" t="s">
        <v>940</v>
      </c>
      <c r="B471" s="5">
        <v>4540311</v>
      </c>
      <c r="C471" s="2" t="s">
        <v>941</v>
      </c>
      <c r="D471" s="6">
        <v>5166503</v>
      </c>
      <c r="E471" s="6">
        <v>4194350</v>
      </c>
      <c r="F471" s="6">
        <v>4559396</v>
      </c>
      <c r="G471" s="6">
        <v>5271278</v>
      </c>
      <c r="H471" s="6">
        <v>5366628</v>
      </c>
      <c r="I471" s="6">
        <v>4955429</v>
      </c>
      <c r="J471" s="6">
        <v>2612758</v>
      </c>
      <c r="K471" s="6">
        <v>2266645</v>
      </c>
      <c r="L471" s="6">
        <v>1743422</v>
      </c>
      <c r="M471" s="6">
        <v>1642966</v>
      </c>
      <c r="N471" s="6">
        <v>1927529</v>
      </c>
      <c r="O471" s="6">
        <v>1870212</v>
      </c>
      <c r="P471" s="6">
        <v>17364829</v>
      </c>
      <c r="Q471" s="6">
        <v>15827935</v>
      </c>
      <c r="R471" s="6">
        <v>14281976</v>
      </c>
      <c r="S471" s="6">
        <v>13399370</v>
      </c>
      <c r="T471" s="6">
        <v>12642117</v>
      </c>
      <c r="U471" s="6">
        <v>11558897</v>
      </c>
    </row>
    <row r="472" spans="1:21" ht="15">
      <c r="A472" s="2" t="s">
        <v>942</v>
      </c>
      <c r="B472" s="5">
        <v>4011157</v>
      </c>
      <c r="C472" s="2" t="s">
        <v>943</v>
      </c>
      <c r="D472" s="6">
        <v>11703000</v>
      </c>
      <c r="E472" s="6">
        <v>15847000</v>
      </c>
      <c r="F472" s="6">
        <v>15125000</v>
      </c>
      <c r="G472" s="6">
        <v>12722000</v>
      </c>
      <c r="H472" s="6">
        <v>12637000</v>
      </c>
      <c r="I472" s="6">
        <v>11540000</v>
      </c>
      <c r="J472" s="6">
        <v>7599000</v>
      </c>
      <c r="K472" s="6">
        <v>6619000</v>
      </c>
      <c r="L472" s="6">
        <v>14659000</v>
      </c>
      <c r="M472" s="6">
        <v>18209000</v>
      </c>
      <c r="N472" s="6">
        <v>4584000</v>
      </c>
      <c r="O472" s="6">
        <v>804000</v>
      </c>
      <c r="P472" s="6">
        <v>115939000</v>
      </c>
      <c r="Q472" s="6">
        <v>123974000</v>
      </c>
      <c r="R472" s="6">
        <v>139001000</v>
      </c>
      <c r="S472" s="6">
        <v>171189000</v>
      </c>
      <c r="T472" s="6">
        <v>108332000</v>
      </c>
      <c r="U472" s="6">
        <v>60115000</v>
      </c>
    </row>
    <row r="473" spans="1:21" ht="15">
      <c r="A473" s="2" t="s">
        <v>944</v>
      </c>
      <c r="B473" s="5">
        <v>4046115</v>
      </c>
      <c r="C473" s="2" t="s">
        <v>945</v>
      </c>
      <c r="D473" s="6">
        <v>13219618</v>
      </c>
      <c r="E473" s="6">
        <v>12105329</v>
      </c>
      <c r="F473" s="6">
        <v>12224778</v>
      </c>
      <c r="G473" s="6">
        <v>12487220</v>
      </c>
      <c r="H473" s="6">
        <v>13685630</v>
      </c>
      <c r="I473" s="6">
        <v>13740554</v>
      </c>
      <c r="J473" s="6">
        <v>2213200</v>
      </c>
      <c r="K473" s="6">
        <v>1875023</v>
      </c>
      <c r="L473" s="6">
        <v>1772999</v>
      </c>
      <c r="M473" s="6">
        <v>1655923</v>
      </c>
      <c r="N473" s="6">
        <v>1537922</v>
      </c>
      <c r="O473" s="6">
        <v>1675301</v>
      </c>
      <c r="P473" s="6">
        <v>5817438</v>
      </c>
      <c r="Q473" s="6">
        <v>4889015</v>
      </c>
      <c r="R473" s="6">
        <v>4500039</v>
      </c>
      <c r="S473" s="6">
        <v>4154058</v>
      </c>
      <c r="T473" s="6">
        <v>3818181</v>
      </c>
      <c r="U473" s="6">
        <v>3789592</v>
      </c>
    </row>
    <row r="474" spans="1:21" ht="15">
      <c r="A474" s="2" t="s">
        <v>946</v>
      </c>
      <c r="B474" s="5">
        <v>112268261</v>
      </c>
      <c r="C474" s="2" t="s">
        <v>947</v>
      </c>
      <c r="D474" s="6">
        <v>2879000</v>
      </c>
      <c r="E474" s="7" t="s">
        <v>61</v>
      </c>
      <c r="F474" s="6">
        <v>135000</v>
      </c>
      <c r="G474" s="6">
        <v>123000</v>
      </c>
      <c r="H474" s="6">
        <v>2777000</v>
      </c>
      <c r="I474" s="6">
        <v>2767000</v>
      </c>
      <c r="J474" s="6">
        <v>1357000</v>
      </c>
      <c r="K474" s="6">
        <v>1287000</v>
      </c>
      <c r="L474" s="6">
        <v>1240000</v>
      </c>
      <c r="M474" s="6">
        <v>1212000</v>
      </c>
      <c r="N474" s="6">
        <v>1145000</v>
      </c>
      <c r="O474" s="6">
        <v>1077000</v>
      </c>
      <c r="P474" s="6">
        <v>5503000</v>
      </c>
      <c r="Q474" s="6">
        <v>5193000</v>
      </c>
      <c r="R474" s="6">
        <v>5021000</v>
      </c>
      <c r="S474" s="6">
        <v>4870000</v>
      </c>
      <c r="T474" s="6">
        <v>4700000</v>
      </c>
      <c r="U474" s="6">
        <v>4348000</v>
      </c>
    </row>
    <row r="475" spans="1:21" ht="15">
      <c r="A475" s="2" t="s">
        <v>948</v>
      </c>
      <c r="B475" s="5">
        <v>4087927</v>
      </c>
      <c r="C475" s="2" t="s">
        <v>949</v>
      </c>
      <c r="D475" s="6">
        <v>1798000</v>
      </c>
      <c r="E475" s="6">
        <v>1795242</v>
      </c>
      <c r="F475" s="6">
        <v>1788200</v>
      </c>
      <c r="G475" s="6">
        <v>1795000</v>
      </c>
      <c r="H475" s="6">
        <v>1797500</v>
      </c>
      <c r="I475" s="6">
        <v>1801500</v>
      </c>
      <c r="J475" s="6">
        <v>1152200</v>
      </c>
      <c r="K475" s="6">
        <v>1095100</v>
      </c>
      <c r="L475" s="6">
        <v>1044700</v>
      </c>
      <c r="M475" s="6">
        <v>990000</v>
      </c>
      <c r="N475" s="6">
        <v>914700</v>
      </c>
      <c r="O475" s="6">
        <v>870600</v>
      </c>
      <c r="P475" s="6">
        <v>1656600</v>
      </c>
      <c r="Q475" s="6">
        <v>1557400</v>
      </c>
      <c r="R475" s="6">
        <v>1493100</v>
      </c>
      <c r="S475" s="6">
        <v>1424900</v>
      </c>
      <c r="T475" s="6">
        <v>1327600</v>
      </c>
      <c r="U475" s="6">
        <v>1265100</v>
      </c>
    </row>
    <row r="476" spans="1:21" ht="15">
      <c r="A476" s="2" t="s">
        <v>950</v>
      </c>
      <c r="B476" s="5">
        <v>4241337</v>
      </c>
      <c r="C476" s="2" t="s">
        <v>951</v>
      </c>
      <c r="D476" s="6">
        <v>4900400</v>
      </c>
      <c r="E476" s="6">
        <v>3524200</v>
      </c>
      <c r="F476" s="6">
        <v>3577100</v>
      </c>
      <c r="G476" s="6">
        <v>3955500</v>
      </c>
      <c r="H476" s="6">
        <v>3095400</v>
      </c>
      <c r="I476" s="6">
        <v>3245800</v>
      </c>
      <c r="J476" s="6">
        <v>1484900</v>
      </c>
      <c r="K476" s="6">
        <v>1386300</v>
      </c>
      <c r="L476" s="6">
        <v>1250100</v>
      </c>
      <c r="M476" s="6">
        <v>1631700</v>
      </c>
      <c r="N476" s="6">
        <v>1186200</v>
      </c>
      <c r="O476" s="6">
        <v>1196000</v>
      </c>
      <c r="P476" s="6">
        <v>3072700</v>
      </c>
      <c r="Q476" s="6">
        <v>2881700</v>
      </c>
      <c r="R476" s="6">
        <v>2681400</v>
      </c>
      <c r="S476" s="6">
        <v>2497000</v>
      </c>
      <c r="T476" s="6">
        <v>2462500</v>
      </c>
      <c r="U476" s="6">
        <v>2269400</v>
      </c>
    </row>
    <row r="477" spans="1:21" ht="15">
      <c r="A477" s="2" t="s">
        <v>952</v>
      </c>
      <c r="B477" s="5">
        <v>4057229</v>
      </c>
      <c r="C477" s="2" t="s">
        <v>953</v>
      </c>
      <c r="D477" s="6">
        <v>184814000</v>
      </c>
      <c r="E477" s="6">
        <v>151647000</v>
      </c>
      <c r="F477" s="6">
        <v>178942000</v>
      </c>
      <c r="G477" s="6">
        <v>180263000</v>
      </c>
      <c r="H477" s="6">
        <v>178597000</v>
      </c>
      <c r="I477" s="6">
        <v>171695000</v>
      </c>
      <c r="J477" s="6">
        <v>49997000</v>
      </c>
      <c r="K477" s="6">
        <v>48791000</v>
      </c>
      <c r="L477" s="6">
        <v>47810000</v>
      </c>
      <c r="M477" s="6">
        <v>47870000</v>
      </c>
      <c r="N477" s="6">
        <v>52871000</v>
      </c>
      <c r="O477" s="6">
        <v>48109000</v>
      </c>
      <c r="P477" s="6">
        <v>138191000</v>
      </c>
      <c r="Q477" s="6">
        <v>134788000</v>
      </c>
      <c r="R477" s="6">
        <v>133974000</v>
      </c>
      <c r="S477" s="6">
        <v>136835000</v>
      </c>
      <c r="T477" s="6">
        <v>133613000</v>
      </c>
      <c r="U477" s="6">
        <v>128292000</v>
      </c>
    </row>
    <row r="478" spans="1:21" ht="15">
      <c r="A478" s="2" t="s">
        <v>954</v>
      </c>
      <c r="B478" s="5">
        <v>4159057</v>
      </c>
      <c r="C478" s="2" t="s">
        <v>955</v>
      </c>
      <c r="D478" s="6">
        <v>2036000</v>
      </c>
      <c r="E478" s="6">
        <v>942400</v>
      </c>
      <c r="F478" s="6">
        <v>967400</v>
      </c>
      <c r="G478" s="6">
        <v>899700</v>
      </c>
      <c r="H478" s="6">
        <v>808400</v>
      </c>
      <c r="I478" s="6">
        <v>1749500</v>
      </c>
      <c r="J478" s="6">
        <v>4866000</v>
      </c>
      <c r="K478" s="6">
        <v>4577000</v>
      </c>
      <c r="L478" s="6">
        <v>4477000</v>
      </c>
      <c r="M478" s="6">
        <v>4526700</v>
      </c>
      <c r="N478" s="6">
        <v>4017900</v>
      </c>
      <c r="O478" s="6">
        <v>3163500</v>
      </c>
      <c r="P478" s="6">
        <v>12001300</v>
      </c>
      <c r="Q478" s="6">
        <v>11020100</v>
      </c>
      <c r="R478" s="6">
        <v>9869200</v>
      </c>
      <c r="S478" s="6">
        <v>8930700</v>
      </c>
      <c r="T478" s="6">
        <v>7574400</v>
      </c>
      <c r="U478" s="6">
        <v>6205700</v>
      </c>
    </row>
    <row r="479" spans="1:21" ht="15">
      <c r="A479" s="2" t="s">
        <v>956</v>
      </c>
      <c r="B479" s="5">
        <v>11078438</v>
      </c>
      <c r="C479" s="2" t="s">
        <v>957</v>
      </c>
      <c r="D479" s="6">
        <v>3227900</v>
      </c>
      <c r="E479" s="6">
        <v>2334900</v>
      </c>
      <c r="F479" s="6">
        <v>3137300</v>
      </c>
      <c r="G479" s="6">
        <v>3368100</v>
      </c>
      <c r="H479" s="6">
        <v>3126400</v>
      </c>
      <c r="I479" s="6">
        <v>3145300</v>
      </c>
      <c r="J479" s="6">
        <v>2207700</v>
      </c>
      <c r="K479" s="6">
        <v>1661500</v>
      </c>
      <c r="L479" s="6">
        <v>1188600</v>
      </c>
      <c r="M479" s="6">
        <v>529800</v>
      </c>
      <c r="N479" s="6">
        <v>500200</v>
      </c>
      <c r="O479" s="6">
        <v>538200</v>
      </c>
      <c r="P479" s="6">
        <v>10229900</v>
      </c>
      <c r="Q479" s="6">
        <v>8011800</v>
      </c>
      <c r="R479" s="6">
        <v>6863200</v>
      </c>
      <c r="S479" s="6">
        <v>5691500</v>
      </c>
      <c r="T479" s="6">
        <v>4998100</v>
      </c>
      <c r="U479" s="6">
        <v>4370600</v>
      </c>
    </row>
    <row r="480" spans="1:21" ht="15">
      <c r="A480" s="2" t="s">
        <v>958</v>
      </c>
      <c r="B480" s="5">
        <v>4761964</v>
      </c>
      <c r="C480" s="2" t="s">
        <v>959</v>
      </c>
      <c r="D480" s="6">
        <v>14698000</v>
      </c>
      <c r="E480" s="6">
        <v>26108800</v>
      </c>
      <c r="F480" s="6">
        <v>23358000</v>
      </c>
      <c r="G480" s="6">
        <v>19527700</v>
      </c>
      <c r="H480" s="6">
        <v>18371200</v>
      </c>
      <c r="I480" s="6">
        <v>14305900</v>
      </c>
      <c r="J480" s="6">
        <v>3958200</v>
      </c>
      <c r="K480" s="6">
        <v>4309000</v>
      </c>
      <c r="L480" s="6">
        <v>4720300</v>
      </c>
      <c r="M480" s="6">
        <v>5601000</v>
      </c>
      <c r="N480" s="6">
        <v>5502000</v>
      </c>
      <c r="O480" s="6">
        <v>3256600</v>
      </c>
      <c r="P480" s="6">
        <v>14299900</v>
      </c>
      <c r="Q480" s="6">
        <v>14739300</v>
      </c>
      <c r="R480" s="6">
        <v>15426900</v>
      </c>
      <c r="S480" s="6">
        <v>16262700</v>
      </c>
      <c r="T480" s="6">
        <v>17886300</v>
      </c>
      <c r="U480" s="6">
        <v>11946000</v>
      </c>
    </row>
    <row r="481" spans="1:21" ht="15">
      <c r="A481" s="2" t="s">
        <v>960</v>
      </c>
      <c r="B481" s="5">
        <v>6614190</v>
      </c>
      <c r="C481" s="2" t="s">
        <v>961</v>
      </c>
      <c r="D481" s="6">
        <v>17689740</v>
      </c>
      <c r="E481" s="6">
        <v>7159936</v>
      </c>
      <c r="F481" s="6">
        <v>4991844</v>
      </c>
      <c r="G481" s="6">
        <v>14568973</v>
      </c>
      <c r="H481" s="6">
        <v>17639740</v>
      </c>
      <c r="I481" s="6">
        <v>17650085</v>
      </c>
      <c r="J481" s="6">
        <v>3651209</v>
      </c>
      <c r="K481" s="6">
        <v>3544492</v>
      </c>
      <c r="L481" s="6">
        <v>3342409</v>
      </c>
      <c r="M481" s="6">
        <v>1672748</v>
      </c>
      <c r="N481" s="6">
        <v>1437028</v>
      </c>
      <c r="O481" s="6">
        <v>908287</v>
      </c>
      <c r="P481" s="6">
        <v>4006116</v>
      </c>
      <c r="Q481" s="6">
        <v>3849205</v>
      </c>
      <c r="R481" s="6">
        <v>3613268</v>
      </c>
      <c r="S481" s="6">
        <v>2660466</v>
      </c>
      <c r="T481" s="6">
        <v>1509568</v>
      </c>
      <c r="U481" s="6">
        <v>1225574</v>
      </c>
    </row>
    <row r="482" spans="1:21" ht="15">
      <c r="A482" s="2" t="s">
        <v>962</v>
      </c>
      <c r="B482" s="5">
        <v>4163620</v>
      </c>
      <c r="C482" s="2" t="s">
        <v>963</v>
      </c>
      <c r="D482" s="6">
        <v>26084000</v>
      </c>
      <c r="E482" s="6">
        <v>24640000</v>
      </c>
      <c r="F482" s="6">
        <v>21551000</v>
      </c>
      <c r="G482" s="6">
        <v>23292000</v>
      </c>
      <c r="H482" s="6">
        <v>21295000</v>
      </c>
      <c r="I482" s="6">
        <v>21671000</v>
      </c>
      <c r="J482" s="6">
        <v>28028000</v>
      </c>
      <c r="K482" s="6">
        <v>25030000</v>
      </c>
      <c r="L482" s="6">
        <v>22870000</v>
      </c>
      <c r="M482" s="6">
        <v>20542000</v>
      </c>
      <c r="N482" s="6">
        <v>16611000</v>
      </c>
      <c r="O482" s="6">
        <v>14892000</v>
      </c>
      <c r="P482" s="6">
        <v>40000000</v>
      </c>
      <c r="Q482" s="6">
        <v>35926000</v>
      </c>
      <c r="R482" s="6">
        <v>32653000</v>
      </c>
      <c r="S482" s="6">
        <v>29310000</v>
      </c>
      <c r="T482" s="6">
        <v>24105000</v>
      </c>
      <c r="U482" s="6">
        <v>21846000</v>
      </c>
    </row>
    <row r="483" spans="1:21" ht="15">
      <c r="A483" s="2" t="s">
        <v>964</v>
      </c>
      <c r="B483" s="5">
        <v>4085953</v>
      </c>
      <c r="C483" s="2" t="s">
        <v>965</v>
      </c>
      <c r="D483" s="6">
        <v>20417000</v>
      </c>
      <c r="E483" s="6">
        <v>10296000</v>
      </c>
      <c r="F483" s="6">
        <v>11234000</v>
      </c>
      <c r="G483" s="6">
        <v>13428000</v>
      </c>
      <c r="H483" s="6">
        <v>14741000</v>
      </c>
      <c r="I483" s="6">
        <v>17413000</v>
      </c>
      <c r="J483" s="6">
        <v>5228000</v>
      </c>
      <c r="K483" s="6">
        <v>6806000</v>
      </c>
      <c r="L483" s="6">
        <v>4682000</v>
      </c>
      <c r="M483" s="6">
        <v>909000</v>
      </c>
      <c r="N483" s="6">
        <v>562000</v>
      </c>
      <c r="O483" s="6">
        <v>3888000</v>
      </c>
      <c r="P483" s="6">
        <v>17738000</v>
      </c>
      <c r="Q483" s="6">
        <v>17224000</v>
      </c>
      <c r="R483" s="6">
        <v>14779000</v>
      </c>
      <c r="S483" s="6">
        <v>13728000</v>
      </c>
      <c r="T483" s="6">
        <v>12077000</v>
      </c>
      <c r="U483" s="6">
        <v>11443000</v>
      </c>
    </row>
    <row r="484" spans="1:21" ht="15">
      <c r="A484" s="2" t="s">
        <v>966</v>
      </c>
      <c r="B484" s="5">
        <v>4063773</v>
      </c>
      <c r="C484" s="2" t="s">
        <v>967</v>
      </c>
      <c r="D484" s="6">
        <v>4940000</v>
      </c>
      <c r="E484" s="6">
        <v>3742500</v>
      </c>
      <c r="F484" s="6">
        <v>4667600</v>
      </c>
      <c r="G484" s="6">
        <v>4629300</v>
      </c>
      <c r="H484" s="6">
        <v>4465800</v>
      </c>
      <c r="I484" s="6">
        <v>5898500</v>
      </c>
      <c r="J484" s="6">
        <v>2311300</v>
      </c>
      <c r="K484" s="6">
        <v>2050400</v>
      </c>
      <c r="L484" s="6">
        <v>1997300</v>
      </c>
      <c r="M484" s="6">
        <v>1595900</v>
      </c>
      <c r="N484" s="6">
        <v>1353400</v>
      </c>
      <c r="O484" s="6">
        <v>1286900</v>
      </c>
      <c r="P484" s="6">
        <v>7941100</v>
      </c>
      <c r="Q484" s="6">
        <v>7417700</v>
      </c>
      <c r="R484" s="6">
        <v>7781900</v>
      </c>
      <c r="S484" s="6">
        <v>7315200</v>
      </c>
      <c r="T484" s="6">
        <v>5552200</v>
      </c>
      <c r="U484" s="6">
        <v>4856800</v>
      </c>
    </row>
    <row r="485" spans="1:21" ht="15">
      <c r="A485" s="2" t="s">
        <v>968</v>
      </c>
      <c r="B485" s="5">
        <v>103336</v>
      </c>
      <c r="C485" s="2" t="s">
        <v>969</v>
      </c>
      <c r="D485" s="6">
        <v>3100176</v>
      </c>
      <c r="E485" s="6">
        <v>2928977</v>
      </c>
      <c r="F485" s="6">
        <v>3475797</v>
      </c>
      <c r="G485" s="6">
        <v>3041282</v>
      </c>
      <c r="H485" s="6">
        <v>3055662</v>
      </c>
      <c r="I485" s="6">
        <v>3059363</v>
      </c>
      <c r="J485" s="6">
        <v>2538894</v>
      </c>
      <c r="K485" s="6">
        <v>2402657</v>
      </c>
      <c r="L485" s="6">
        <v>1973596</v>
      </c>
      <c r="M485" s="6">
        <v>1854997</v>
      </c>
      <c r="N485" s="6">
        <v>1545563</v>
      </c>
      <c r="O485" s="6">
        <v>990767</v>
      </c>
      <c r="P485" s="6">
        <v>14707856</v>
      </c>
      <c r="Q485" s="6">
        <v>13638752</v>
      </c>
      <c r="R485" s="6">
        <v>12142938</v>
      </c>
      <c r="S485" s="6">
        <v>11166499</v>
      </c>
      <c r="T485" s="6">
        <v>9455466</v>
      </c>
      <c r="U485" s="6">
        <v>8098925</v>
      </c>
    </row>
    <row r="486" spans="1:21" ht="15">
      <c r="A486" s="2" t="s">
        <v>970</v>
      </c>
      <c r="B486" s="5">
        <v>4071818</v>
      </c>
      <c r="C486" s="2" t="s">
        <v>971</v>
      </c>
      <c r="D486" s="6">
        <v>2862000</v>
      </c>
      <c r="E486" s="6">
        <v>2616000</v>
      </c>
      <c r="F486" s="6">
        <v>2762000</v>
      </c>
      <c r="G486" s="6">
        <v>2739000</v>
      </c>
      <c r="H486" s="6">
        <v>2752000</v>
      </c>
      <c r="I486" s="6">
        <v>3183000</v>
      </c>
      <c r="J486" s="6">
        <v>2963000</v>
      </c>
      <c r="K486" s="6">
        <v>2909000</v>
      </c>
      <c r="L486" s="6">
        <v>2797000</v>
      </c>
      <c r="M486" s="6">
        <v>2443000</v>
      </c>
      <c r="N486" s="6">
        <v>1756000</v>
      </c>
      <c r="O486" s="6">
        <v>1414000</v>
      </c>
      <c r="P486" s="6">
        <v>17942000</v>
      </c>
      <c r="Q486" s="6">
        <v>17168000</v>
      </c>
      <c r="R486" s="6">
        <v>16478000</v>
      </c>
      <c r="S486" s="6">
        <v>15228000</v>
      </c>
      <c r="T486" s="6">
        <v>13022000</v>
      </c>
      <c r="U486" s="6">
        <v>11797000</v>
      </c>
    </row>
    <row r="487" spans="1:21" ht="15">
      <c r="A487" s="2" t="s">
        <v>972</v>
      </c>
      <c r="B487" s="5">
        <v>3005566</v>
      </c>
      <c r="C487" s="2" t="s">
        <v>973</v>
      </c>
      <c r="D487" s="6">
        <v>68426000</v>
      </c>
      <c r="E487" s="6">
        <v>63640000</v>
      </c>
      <c r="F487" s="6">
        <v>58418000</v>
      </c>
      <c r="G487" s="6">
        <v>61035000</v>
      </c>
      <c r="H487" s="6">
        <v>63277000</v>
      </c>
      <c r="I487" s="6">
        <v>62113000</v>
      </c>
      <c r="J487" s="6">
        <v>44028000</v>
      </c>
      <c r="K487" s="6">
        <v>42321000</v>
      </c>
      <c r="L487" s="6">
        <v>38865000</v>
      </c>
      <c r="M487" s="6">
        <v>35473000</v>
      </c>
      <c r="N487" s="6">
        <v>36600000</v>
      </c>
      <c r="O487" s="6">
        <v>33700000</v>
      </c>
      <c r="P487" s="6">
        <v>713163000</v>
      </c>
      <c r="Q487" s="6">
        <v>680985000</v>
      </c>
      <c r="R487" s="6">
        <v>648125000</v>
      </c>
      <c r="S487" s="6">
        <v>611289000</v>
      </c>
      <c r="T487" s="6">
        <v>572754000</v>
      </c>
      <c r="U487" s="6">
        <v>559151000</v>
      </c>
    </row>
    <row r="488" spans="1:21" ht="15">
      <c r="A488" s="2" t="s">
        <v>974</v>
      </c>
      <c r="B488" s="5">
        <v>4216584</v>
      </c>
      <c r="C488" s="2" t="s">
        <v>975</v>
      </c>
      <c r="D488" s="6">
        <v>36761000</v>
      </c>
      <c r="E488" s="6">
        <v>16397000</v>
      </c>
      <c r="F488" s="6">
        <v>15648000</v>
      </c>
      <c r="G488" s="6">
        <v>52602000</v>
      </c>
      <c r="H488" s="6">
        <v>47290000</v>
      </c>
      <c r="I488" s="6">
        <v>43006000</v>
      </c>
      <c r="J488" s="6">
        <v>7362000</v>
      </c>
      <c r="K488" s="6">
        <v>7547000</v>
      </c>
      <c r="L488" s="6">
        <v>7409000</v>
      </c>
      <c r="M488" s="6">
        <v>4943000</v>
      </c>
      <c r="N488" s="6">
        <v>3655000</v>
      </c>
      <c r="O488" s="6">
        <v>4143000</v>
      </c>
      <c r="P488" s="6">
        <v>37296000</v>
      </c>
      <c r="Q488" s="6">
        <v>39321000</v>
      </c>
      <c r="R488" s="6">
        <v>41321000</v>
      </c>
      <c r="S488" s="6">
        <v>33817000</v>
      </c>
      <c r="T488" s="6">
        <v>12191000</v>
      </c>
      <c r="U488" s="6">
        <v>10671000</v>
      </c>
    </row>
    <row r="489" spans="1:21" ht="15">
      <c r="A489" s="2" t="s">
        <v>976</v>
      </c>
      <c r="B489" s="5">
        <v>4063852</v>
      </c>
      <c r="C489" s="2" t="s">
        <v>977</v>
      </c>
      <c r="D489" s="6">
        <v>23917000</v>
      </c>
      <c r="E489" s="6">
        <v>14326000</v>
      </c>
      <c r="F489" s="6">
        <v>13928000</v>
      </c>
      <c r="G489" s="6">
        <v>15508000</v>
      </c>
      <c r="H489" s="6">
        <v>16747000</v>
      </c>
      <c r="I489" s="6">
        <v>24940000</v>
      </c>
      <c r="J489" s="6">
        <v>7559000</v>
      </c>
      <c r="K489" s="6">
        <v>6576000</v>
      </c>
      <c r="L489" s="6">
        <v>5894000</v>
      </c>
      <c r="M489" s="6">
        <v>5466000</v>
      </c>
      <c r="N489" s="6">
        <v>4956000</v>
      </c>
      <c r="O489" s="6">
        <v>4149000</v>
      </c>
      <c r="P489" s="6">
        <v>25204000</v>
      </c>
      <c r="Q489" s="6">
        <v>22063000</v>
      </c>
      <c r="R489" s="6">
        <v>20426000</v>
      </c>
      <c r="S489" s="6">
        <v>19698000</v>
      </c>
      <c r="T489" s="6">
        <v>17931000</v>
      </c>
      <c r="U489" s="6">
        <v>15218000</v>
      </c>
    </row>
    <row r="490" spans="1:21" ht="15">
      <c r="A490" s="2" t="s">
        <v>978</v>
      </c>
      <c r="B490" s="5">
        <v>4337758</v>
      </c>
      <c r="C490" s="2" t="s">
        <v>979</v>
      </c>
      <c r="D490" s="6">
        <v>1543961</v>
      </c>
      <c r="E490" s="6">
        <v>1497472</v>
      </c>
      <c r="F490" s="6">
        <v>1606762</v>
      </c>
      <c r="G490" s="6">
        <v>1668198</v>
      </c>
      <c r="H490" s="6">
        <v>2458622</v>
      </c>
      <c r="I490" s="6">
        <v>1702983</v>
      </c>
      <c r="J490" s="6">
        <v>1094048</v>
      </c>
      <c r="K490" s="6">
        <v>1047351</v>
      </c>
      <c r="L490" s="6">
        <v>1028251</v>
      </c>
      <c r="M490" s="6">
        <v>1014085</v>
      </c>
      <c r="N490" s="6">
        <v>958425</v>
      </c>
      <c r="O490" s="6">
        <v>777972</v>
      </c>
      <c r="P490" s="6">
        <v>3165286</v>
      </c>
      <c r="Q490" s="6">
        <v>2958387</v>
      </c>
      <c r="R490" s="6">
        <v>2956416</v>
      </c>
      <c r="S490" s="6">
        <v>2971956</v>
      </c>
      <c r="T490" s="6">
        <v>2785874</v>
      </c>
      <c r="U490" s="6">
        <v>2365365</v>
      </c>
    </row>
    <row r="491" spans="1:21" ht="15">
      <c r="A491" s="2" t="s">
        <v>980</v>
      </c>
      <c r="B491" s="5">
        <v>4009725</v>
      </c>
      <c r="C491" s="2" t="s">
        <v>981</v>
      </c>
      <c r="D491" s="6">
        <v>22390500</v>
      </c>
      <c r="E491" s="6">
        <v>14297600</v>
      </c>
      <c r="F491" s="6">
        <v>15622900</v>
      </c>
      <c r="G491" s="6">
        <v>17323900</v>
      </c>
      <c r="H491" s="6">
        <v>18841400</v>
      </c>
      <c r="I491" s="6">
        <v>20369000</v>
      </c>
      <c r="J491" s="6">
        <v>3867700</v>
      </c>
      <c r="K491" s="6">
        <v>3603100</v>
      </c>
      <c r="L491" s="6">
        <v>3448800</v>
      </c>
      <c r="M491" s="6">
        <v>3151200</v>
      </c>
      <c r="N491" s="6">
        <v>2861400</v>
      </c>
      <c r="O491" s="6">
        <v>2723200</v>
      </c>
      <c r="P491" s="6">
        <v>9800100</v>
      </c>
      <c r="Q491" s="6">
        <v>8599900</v>
      </c>
      <c r="R491" s="6">
        <v>8893000</v>
      </c>
      <c r="S491" s="6">
        <v>9597400</v>
      </c>
      <c r="T491" s="6">
        <v>8316000</v>
      </c>
      <c r="U491" s="6">
        <v>7241700</v>
      </c>
    </row>
    <row r="492" spans="1:21" ht="15">
      <c r="A492" s="2" t="s">
        <v>982</v>
      </c>
      <c r="B492" s="5">
        <v>100382</v>
      </c>
      <c r="C492" s="2" t="s">
        <v>983</v>
      </c>
      <c r="D492" s="6">
        <v>443508000</v>
      </c>
      <c r="E492" s="6">
        <v>293420000</v>
      </c>
      <c r="F492" s="6">
        <v>208998000</v>
      </c>
      <c r="G492" s="6">
        <v>250547000</v>
      </c>
      <c r="H492" s="6">
        <v>319702000</v>
      </c>
      <c r="I492" s="6">
        <v>291775000</v>
      </c>
      <c r="J492" s="7" t="s">
        <v>61</v>
      </c>
      <c r="K492" s="7" t="s">
        <v>61</v>
      </c>
      <c r="L492" s="7" t="s">
        <v>61</v>
      </c>
      <c r="M492" s="7" t="s">
        <v>61</v>
      </c>
      <c r="N492" s="7" t="s">
        <v>61</v>
      </c>
      <c r="O492" s="7" t="s">
        <v>61</v>
      </c>
      <c r="P492" s="6">
        <v>80041000</v>
      </c>
      <c r="Q492" s="6">
        <v>77962000</v>
      </c>
      <c r="R492" s="6">
        <v>77198000</v>
      </c>
      <c r="S492" s="6">
        <v>72834000</v>
      </c>
      <c r="T492" s="6">
        <v>83321000</v>
      </c>
      <c r="U492" s="6">
        <v>60172000</v>
      </c>
    </row>
    <row r="493" spans="1:21" ht="15">
      <c r="A493" s="2" t="s">
        <v>984</v>
      </c>
      <c r="B493" s="5">
        <v>102952</v>
      </c>
      <c r="C493" s="2" t="s">
        <v>985</v>
      </c>
      <c r="D493" s="6">
        <v>21380295</v>
      </c>
      <c r="E493" s="6">
        <v>14216986</v>
      </c>
      <c r="F493" s="6">
        <v>14676898</v>
      </c>
      <c r="G493" s="6">
        <v>14963912</v>
      </c>
      <c r="H493" s="6">
        <v>16118779</v>
      </c>
      <c r="I493" s="6">
        <v>16758356</v>
      </c>
      <c r="J493" s="6">
        <v>2664594</v>
      </c>
      <c r="K493" s="6">
        <v>2962831</v>
      </c>
      <c r="L493" s="6">
        <v>2477950</v>
      </c>
      <c r="M493" s="6">
        <v>2167676</v>
      </c>
      <c r="N493" s="6">
        <v>1942459</v>
      </c>
      <c r="O493" s="6">
        <v>1919874</v>
      </c>
      <c r="P493" s="6">
        <v>10838034</v>
      </c>
      <c r="Q493" s="6">
        <v>7991118</v>
      </c>
      <c r="R493" s="6">
        <v>6572510</v>
      </c>
      <c r="S493" s="6">
        <v>5860615</v>
      </c>
      <c r="T493" s="6">
        <v>4737473</v>
      </c>
      <c r="U493" s="6">
        <v>4586538</v>
      </c>
    </row>
    <row r="494" spans="1:21" ht="15">
      <c r="A494" s="2" t="s">
        <v>986</v>
      </c>
      <c r="B494" s="5">
        <v>4102413</v>
      </c>
      <c r="C494" s="2" t="s">
        <v>987</v>
      </c>
      <c r="D494" s="6">
        <v>326200</v>
      </c>
      <c r="E494" s="6">
        <v>331300</v>
      </c>
      <c r="F494" s="6">
        <v>325300</v>
      </c>
      <c r="G494" s="6">
        <v>317900</v>
      </c>
      <c r="H494" s="6">
        <v>309000</v>
      </c>
      <c r="I494" s="6">
        <v>305300</v>
      </c>
      <c r="J494" s="6">
        <v>810100</v>
      </c>
      <c r="K494" s="6">
        <v>749000</v>
      </c>
      <c r="L494" s="6">
        <v>843500</v>
      </c>
      <c r="M494" s="6">
        <v>884400</v>
      </c>
      <c r="N494" s="6">
        <v>890900</v>
      </c>
      <c r="O494" s="6">
        <v>531700</v>
      </c>
      <c r="P494" s="6">
        <v>3074100</v>
      </c>
      <c r="Q494" s="6">
        <v>2893200</v>
      </c>
      <c r="R494" s="6">
        <v>2949800</v>
      </c>
      <c r="S494" s="6">
        <v>2886900</v>
      </c>
      <c r="T494" s="6">
        <v>2831600</v>
      </c>
      <c r="U494" s="6">
        <v>2146900</v>
      </c>
    </row>
    <row r="495" spans="1:21" ht="15">
      <c r="A495" s="2" t="s">
        <v>988</v>
      </c>
      <c r="B495" s="5">
        <v>4071659</v>
      </c>
      <c r="C495" s="2" t="s">
        <v>989</v>
      </c>
      <c r="D495" s="6">
        <v>4852000</v>
      </c>
      <c r="E495" s="6">
        <v>9708000</v>
      </c>
      <c r="F495" s="6">
        <v>8805000</v>
      </c>
      <c r="G495" s="6">
        <v>7022000</v>
      </c>
      <c r="H495" s="6">
        <v>7354000</v>
      </c>
      <c r="I495" s="6">
        <v>7595000</v>
      </c>
      <c r="J495" s="6">
        <v>2473000</v>
      </c>
      <c r="K495" s="6">
        <v>460000</v>
      </c>
      <c r="L495" s="6">
        <v>10000</v>
      </c>
      <c r="M495" s="6">
        <v>3589000</v>
      </c>
      <c r="N495" s="6">
        <v>2321000</v>
      </c>
      <c r="O495" s="6">
        <v>1934000</v>
      </c>
      <c r="P495" s="6">
        <v>9520000</v>
      </c>
      <c r="Q495" s="6">
        <v>6317000</v>
      </c>
      <c r="R495" s="6">
        <v>6255000</v>
      </c>
      <c r="S495" s="6">
        <v>18793000</v>
      </c>
      <c r="T495" s="6">
        <v>16922000</v>
      </c>
      <c r="U495" s="6">
        <v>16736000</v>
      </c>
    </row>
    <row r="496" spans="1:21" ht="15">
      <c r="A496" s="2" t="s">
        <v>990</v>
      </c>
      <c r="B496" s="5">
        <v>4994265</v>
      </c>
      <c r="C496" s="2" t="s">
        <v>991</v>
      </c>
      <c r="D496" s="6">
        <v>5933000</v>
      </c>
      <c r="E496" s="6">
        <v>4239000</v>
      </c>
      <c r="F496" s="6">
        <v>4058000</v>
      </c>
      <c r="G496" s="6">
        <v>4002000</v>
      </c>
      <c r="H496" s="6">
        <v>4069000</v>
      </c>
      <c r="I496" s="6">
        <v>3980000</v>
      </c>
      <c r="J496" s="6">
        <v>2435000</v>
      </c>
      <c r="K496" s="6">
        <v>2134000</v>
      </c>
      <c r="L496" s="6">
        <v>1797000</v>
      </c>
      <c r="M496" s="6">
        <v>1484000</v>
      </c>
      <c r="N496" s="6">
        <v>1321000</v>
      </c>
      <c r="O496" s="6">
        <v>1256000</v>
      </c>
      <c r="P496" s="6">
        <v>11167000</v>
      </c>
      <c r="Q496" s="6">
        <v>10387000</v>
      </c>
      <c r="R496" s="6">
        <v>9677000</v>
      </c>
      <c r="S496" s="6">
        <v>8362000</v>
      </c>
      <c r="T496" s="6">
        <v>7822000</v>
      </c>
      <c r="U496" s="6">
        <v>7556000</v>
      </c>
    </row>
    <row r="497" spans="1:21" ht="15">
      <c r="A497" s="2" t="s">
        <v>992</v>
      </c>
      <c r="B497" s="5">
        <v>4006248</v>
      </c>
      <c r="C497" s="2" t="s">
        <v>993</v>
      </c>
      <c r="D497" s="6">
        <v>5721000</v>
      </c>
      <c r="E497" s="6">
        <v>5608000</v>
      </c>
      <c r="F497" s="6">
        <v>5221000</v>
      </c>
      <c r="G497" s="6">
        <v>5171000</v>
      </c>
      <c r="H497" s="6">
        <v>5191000</v>
      </c>
      <c r="I497" s="6">
        <v>5234000</v>
      </c>
      <c r="J497" s="6">
        <v>706000</v>
      </c>
      <c r="K497" s="6">
        <v>1182000</v>
      </c>
      <c r="L497" s="6">
        <v>1566000</v>
      </c>
      <c r="M497" s="6">
        <v>3526000</v>
      </c>
      <c r="N497" s="6">
        <v>4021000</v>
      </c>
      <c r="O497" s="6">
        <v>2050000</v>
      </c>
      <c r="P497" s="6">
        <v>6905000</v>
      </c>
      <c r="Q497" s="6">
        <v>7124000</v>
      </c>
      <c r="R497" s="6">
        <v>7674000</v>
      </c>
      <c r="S497" s="6">
        <v>10184000</v>
      </c>
      <c r="T497" s="6">
        <v>10201000</v>
      </c>
      <c r="U497" s="6">
        <v>7532000</v>
      </c>
    </row>
    <row r="498" spans="1:21" ht="15">
      <c r="A498" s="2" t="s">
        <v>994</v>
      </c>
      <c r="B498" s="5">
        <v>4252151</v>
      </c>
      <c r="C498" s="2" t="s">
        <v>995</v>
      </c>
      <c r="D498" s="6">
        <v>1456905</v>
      </c>
      <c r="E498" s="6">
        <v>1534161</v>
      </c>
      <c r="F498" s="6">
        <v>1284248</v>
      </c>
      <c r="G498" s="6">
        <v>1443658</v>
      </c>
      <c r="H498" s="6">
        <v>1390621</v>
      </c>
      <c r="I498" s="6">
        <v>1347315</v>
      </c>
      <c r="J498" s="6">
        <v>1648771</v>
      </c>
      <c r="K498" s="6">
        <v>1663886</v>
      </c>
      <c r="L498" s="6">
        <v>1491283</v>
      </c>
      <c r="M498" s="6">
        <v>1728175</v>
      </c>
      <c r="N498" s="6">
        <v>1649203</v>
      </c>
      <c r="O498" s="6">
        <v>1126452</v>
      </c>
      <c r="P498" s="6">
        <v>7806816</v>
      </c>
      <c r="Q498" s="6">
        <v>7711541</v>
      </c>
      <c r="R498" s="6">
        <v>7750652</v>
      </c>
      <c r="S498" s="6">
        <v>8674417</v>
      </c>
      <c r="T498" s="6">
        <v>8245936</v>
      </c>
      <c r="U498" s="6">
        <v>6783189</v>
      </c>
    </row>
    <row r="499" spans="1:21" ht="15">
      <c r="A499" s="2" t="s">
        <v>996</v>
      </c>
      <c r="B499" s="5">
        <v>4248534</v>
      </c>
      <c r="C499" s="2" t="s">
        <v>997</v>
      </c>
      <c r="D499" s="6">
        <v>6905000</v>
      </c>
      <c r="E499" s="6">
        <v>6726000</v>
      </c>
      <c r="F499" s="6">
        <v>5490000</v>
      </c>
      <c r="G499" s="6">
        <v>5483000</v>
      </c>
      <c r="H499" s="6">
        <v>5946000</v>
      </c>
      <c r="I499" s="6">
        <v>5936000</v>
      </c>
      <c r="J499" s="6">
        <v>2627000</v>
      </c>
      <c r="K499" s="6">
        <v>2657000</v>
      </c>
      <c r="L499" s="6">
        <v>2433000</v>
      </c>
      <c r="M499" s="6">
        <v>2378000</v>
      </c>
      <c r="N499" s="6">
        <v>2399000</v>
      </c>
      <c r="O499" s="6">
        <v>2145000</v>
      </c>
      <c r="P499" s="6">
        <v>9708000</v>
      </c>
      <c r="Q499" s="6">
        <v>9930000</v>
      </c>
      <c r="R499" s="6">
        <v>9483000</v>
      </c>
      <c r="S499" s="6">
        <v>8866000</v>
      </c>
      <c r="T499" s="6">
        <v>8998000</v>
      </c>
      <c r="U499" s="6">
        <v>8615000</v>
      </c>
    </row>
    <row r="500" spans="1:21" ht="15">
      <c r="A500" s="2" t="s">
        <v>998</v>
      </c>
      <c r="B500" s="5">
        <v>4334777</v>
      </c>
      <c r="C500" s="2" t="s">
        <v>999</v>
      </c>
      <c r="D500" s="6">
        <v>3821000</v>
      </c>
      <c r="E500" s="6">
        <v>2238065</v>
      </c>
      <c r="F500" s="6">
        <v>2102756</v>
      </c>
      <c r="G500" s="6">
        <v>3249000</v>
      </c>
      <c r="H500" s="6">
        <v>3296000</v>
      </c>
      <c r="I500" s="6">
        <v>3362000</v>
      </c>
      <c r="J500" s="6">
        <v>1371000</v>
      </c>
      <c r="K500" s="6">
        <v>825000</v>
      </c>
      <c r="L500" s="6">
        <v>465000</v>
      </c>
      <c r="M500" s="6">
        <v>182000</v>
      </c>
      <c r="N500" s="6">
        <v>228000</v>
      </c>
      <c r="O500" s="6">
        <v>45058</v>
      </c>
      <c r="P500" s="6">
        <v>9552000</v>
      </c>
      <c r="Q500" s="6">
        <v>8446000</v>
      </c>
      <c r="R500" s="6">
        <v>7259000</v>
      </c>
      <c r="S500" s="6">
        <v>6216000</v>
      </c>
      <c r="T500" s="6">
        <v>5139000</v>
      </c>
      <c r="U500" s="6">
        <v>4317996</v>
      </c>
    </row>
    <row r="501" spans="1:21" ht="15">
      <c r="A501" s="2" t="s">
        <v>1000</v>
      </c>
      <c r="B501" s="5">
        <v>4107971</v>
      </c>
      <c r="C501" s="2" t="s">
        <v>1001</v>
      </c>
      <c r="D501" s="6">
        <v>12292254</v>
      </c>
      <c r="E501" s="6">
        <v>13270779</v>
      </c>
      <c r="F501" s="6">
        <v>12126173</v>
      </c>
      <c r="G501" s="6">
        <v>13789744</v>
      </c>
      <c r="H501" s="6">
        <v>13416821</v>
      </c>
      <c r="I501" s="6">
        <v>12266452</v>
      </c>
      <c r="J501" s="6">
        <v>1749601</v>
      </c>
      <c r="K501" s="6">
        <v>1800322</v>
      </c>
      <c r="L501" s="6">
        <v>1608265</v>
      </c>
      <c r="M501" s="6">
        <v>443961</v>
      </c>
      <c r="N501" s="6">
        <v>317813</v>
      </c>
      <c r="O501" s="6">
        <v>-520428</v>
      </c>
      <c r="P501" s="6">
        <v>7137924</v>
      </c>
      <c r="Q501" s="6">
        <v>7127961</v>
      </c>
      <c r="R501" s="6">
        <v>6531897</v>
      </c>
      <c r="S501" s="6">
        <v>3756825</v>
      </c>
      <c r="T501" s="6">
        <v>3763664</v>
      </c>
      <c r="U501" s="6">
        <v>2095861</v>
      </c>
    </row>
    <row r="502" spans="1:21" ht="15">
      <c r="A502" s="2" t="s">
        <v>1002</v>
      </c>
      <c r="B502" s="5">
        <v>4025308</v>
      </c>
      <c r="C502" s="2" t="s">
        <v>1003</v>
      </c>
      <c r="D502" s="6">
        <v>36082000</v>
      </c>
      <c r="E502" s="6">
        <v>22208000</v>
      </c>
      <c r="F502" s="6">
        <v>24736000</v>
      </c>
      <c r="G502" s="6">
        <v>26033000</v>
      </c>
      <c r="H502" s="6">
        <v>27531000</v>
      </c>
      <c r="I502" s="6">
        <v>30268000</v>
      </c>
      <c r="J502" s="6">
        <v>5980000</v>
      </c>
      <c r="K502" s="6">
        <v>5282000</v>
      </c>
      <c r="L502" s="6">
        <v>5180000</v>
      </c>
      <c r="M502" s="6">
        <v>5013000</v>
      </c>
      <c r="N502" s="6">
        <v>4462000</v>
      </c>
      <c r="O502" s="6">
        <v>4190000</v>
      </c>
      <c r="P502" s="6">
        <v>14669000</v>
      </c>
      <c r="Q502" s="6">
        <v>13441000</v>
      </c>
      <c r="R502" s="6">
        <v>14206000</v>
      </c>
      <c r="S502" s="6">
        <v>15310000</v>
      </c>
      <c r="T502" s="6">
        <v>13431000</v>
      </c>
      <c r="U502" s="6">
        <v>11526000</v>
      </c>
    </row>
    <row r="503" spans="1:21" ht="15">
      <c r="A503" s="2" t="s">
        <v>1004</v>
      </c>
      <c r="B503" s="5">
        <v>4317520</v>
      </c>
      <c r="C503" s="2" t="s">
        <v>1005</v>
      </c>
      <c r="D503" s="6">
        <v>2475000</v>
      </c>
      <c r="E503" s="6">
        <v>3363000</v>
      </c>
      <c r="F503" s="6">
        <v>2752000</v>
      </c>
      <c r="G503" s="6">
        <v>2198000</v>
      </c>
      <c r="H503" s="6">
        <v>2726000</v>
      </c>
      <c r="I503" s="6">
        <v>2443000</v>
      </c>
      <c r="J503" s="6">
        <v>1894000</v>
      </c>
      <c r="K503" s="6">
        <v>1629000</v>
      </c>
      <c r="L503" s="6">
        <v>1161000</v>
      </c>
      <c r="M503" s="6">
        <v>890000</v>
      </c>
      <c r="N503" s="6">
        <v>824000</v>
      </c>
      <c r="O503" s="6">
        <v>736000</v>
      </c>
      <c r="P503" s="6">
        <v>9035000</v>
      </c>
      <c r="Q503" s="6">
        <v>8562000</v>
      </c>
      <c r="R503" s="6">
        <v>7364000</v>
      </c>
      <c r="S503" s="6">
        <v>5522000</v>
      </c>
      <c r="T503" s="6">
        <v>5195000</v>
      </c>
      <c r="U503" s="6">
        <v>4876000</v>
      </c>
    </row>
    <row r="504" spans="1:21" ht="15">
      <c r="A504" s="2" t="s">
        <v>1006</v>
      </c>
      <c r="B504" s="5">
        <v>4025819</v>
      </c>
      <c r="C504" s="2" t="s">
        <v>1007</v>
      </c>
      <c r="D504" s="6">
        <v>13189000</v>
      </c>
      <c r="E504" s="6">
        <v>11800000</v>
      </c>
      <c r="F504" s="6">
        <v>12219000</v>
      </c>
      <c r="G504" s="6">
        <v>12661000</v>
      </c>
      <c r="H504" s="6">
        <v>12031000</v>
      </c>
      <c r="I504" s="6">
        <v>12286000</v>
      </c>
      <c r="J504" s="6">
        <v>2910000</v>
      </c>
      <c r="K504" s="6">
        <v>2727000</v>
      </c>
      <c r="L504" s="6">
        <v>2533000</v>
      </c>
      <c r="M504" s="6">
        <v>2282000</v>
      </c>
      <c r="N504" s="6">
        <v>2328000</v>
      </c>
      <c r="O504" s="6">
        <v>1843000</v>
      </c>
      <c r="P504" s="6">
        <v>8214000</v>
      </c>
      <c r="Q504" s="6">
        <v>7549000</v>
      </c>
      <c r="R504" s="6">
        <v>7076000</v>
      </c>
      <c r="S504" s="6">
        <v>6842000</v>
      </c>
      <c r="T504" s="6">
        <v>6584000</v>
      </c>
      <c r="U504" s="6">
        <v>5652000</v>
      </c>
    </row>
    <row r="505" spans="1:21" ht="15">
      <c r="A505" s="2" t="s">
        <v>1008</v>
      </c>
      <c r="B505" s="5">
        <v>4376897</v>
      </c>
      <c r="C505" s="2" t="s">
        <v>1009</v>
      </c>
      <c r="D505" s="6">
        <v>2697000</v>
      </c>
      <c r="E505" s="6">
        <v>1450000</v>
      </c>
      <c r="F505" s="6">
        <v>1161000</v>
      </c>
      <c r="G505" s="6">
        <v>2199000</v>
      </c>
      <c r="H505" s="6">
        <v>2430000</v>
      </c>
      <c r="I505" s="6">
        <v>2362000</v>
      </c>
      <c r="J505" s="6">
        <v>985000</v>
      </c>
      <c r="K505" s="6">
        <v>937000</v>
      </c>
      <c r="L505" s="6">
        <v>761000</v>
      </c>
      <c r="M505" s="6">
        <v>1140000</v>
      </c>
      <c r="N505" s="6">
        <v>1198000</v>
      </c>
      <c r="O505" s="6">
        <v>831000</v>
      </c>
      <c r="P505" s="6">
        <v>5396000</v>
      </c>
      <c r="Q505" s="6">
        <v>4981000</v>
      </c>
      <c r="R505" s="6">
        <v>4584000</v>
      </c>
      <c r="S505" s="6">
        <v>5781000</v>
      </c>
      <c r="T505" s="6">
        <v>5627000</v>
      </c>
      <c r="U505" s="6">
        <v>4448000</v>
      </c>
    </row>
    <row r="506" spans="1:21" ht="15">
      <c r="A506" s="2" t="s">
        <v>1010</v>
      </c>
      <c r="B506" s="5">
        <v>4812735</v>
      </c>
      <c r="C506" s="2" t="s">
        <v>1011</v>
      </c>
      <c r="D506" s="6">
        <v>7873900</v>
      </c>
      <c r="E506" s="6">
        <v>8502600</v>
      </c>
      <c r="F506" s="6">
        <v>7314300</v>
      </c>
      <c r="G506" s="6">
        <v>6138400</v>
      </c>
      <c r="H506" s="6">
        <v>6208000</v>
      </c>
      <c r="I506" s="6">
        <v>6620800</v>
      </c>
      <c r="J506" s="6">
        <v>2495400</v>
      </c>
      <c r="K506" s="6">
        <v>2590300</v>
      </c>
      <c r="L506" s="6">
        <v>2457100</v>
      </c>
      <c r="M506" s="6">
        <v>2212600</v>
      </c>
      <c r="N506" s="6">
        <v>2160100</v>
      </c>
      <c r="O506" s="6">
        <v>1791400</v>
      </c>
      <c r="P506" s="6">
        <v>8231500</v>
      </c>
      <c r="Q506" s="6">
        <v>7678600</v>
      </c>
      <c r="R506" s="6">
        <v>7394200</v>
      </c>
      <c r="S506" s="6">
        <v>6939900</v>
      </c>
      <c r="T506" s="6">
        <v>6827300</v>
      </c>
      <c r="U506" s="6">
        <v>6127500</v>
      </c>
    </row>
    <row r="507" spans="1:21" ht="15">
      <c r="A507" s="2" t="s">
        <v>1012</v>
      </c>
      <c r="B507" s="5">
        <v>4810470</v>
      </c>
      <c r="C507" s="2" t="s">
        <v>1013</v>
      </c>
      <c r="D507" s="6">
        <v>9313000</v>
      </c>
      <c r="E507" s="6">
        <v>7440000</v>
      </c>
      <c r="F507" s="6">
        <v>6789000</v>
      </c>
      <c r="G507" s="6">
        <v>8165000</v>
      </c>
      <c r="H507" s="6">
        <v>6838000</v>
      </c>
      <c r="I507" s="6">
        <v>6829000</v>
      </c>
      <c r="J507" s="6">
        <v>4066000</v>
      </c>
      <c r="K507" s="6">
        <v>3835000</v>
      </c>
      <c r="L507" s="6">
        <v>3486000</v>
      </c>
      <c r="M507" s="6">
        <v>3332000</v>
      </c>
      <c r="N507" s="6">
        <v>3207000</v>
      </c>
      <c r="O507" s="6">
        <v>2696000</v>
      </c>
      <c r="P507" s="6">
        <v>9467000</v>
      </c>
      <c r="Q507" s="6">
        <v>9256000</v>
      </c>
      <c r="R507" s="6">
        <v>8544000</v>
      </c>
      <c r="S507" s="6">
        <v>8080000</v>
      </c>
      <c r="T507" s="6">
        <v>7776000</v>
      </c>
      <c r="U507" s="6">
        <v>6675000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5"/>
  <sheetViews>
    <sheetView workbookViewId="0" topLeftCell="A1"/>
  </sheetViews>
  <sheetFormatPr defaultRowHeight="15"/>
  <cols>
    <col min="1" max="1" width="26.8571428571429" customWidth="1"/>
  </cols>
  <sheetData>
    <row r="1" spans="1:4" ht="40" customHeight="1">
      <c r="A1" s="8"/>
      <c r="B1" s="8"/>
      <c r="C1" s="8"/>
      <c r="D1" s="8"/>
    </row>
    <row r="2" spans="1:1" ht="15"/>
    <row r="3" spans="1:1" ht="15">
      <c r="A3" s="9" t="s">
        <v>1014</v>
      </c>
    </row>
    <row r="4" spans="1:1" ht="15">
      <c r="A4" s="9" t="s">
        <v>1015</v>
      </c>
    </row>
    <row r="5" spans="1:1" ht="15">
      <c r="A5" s="2" t="s">
        <v>1016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